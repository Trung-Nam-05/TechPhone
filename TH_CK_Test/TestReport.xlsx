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D:\dambaochatluong\TH_CK_Test\"/>
    </mc:Choice>
  </mc:AlternateContent>
  <xr:revisionPtr revIDLastSave="0" documentId="13_ncr:1_{A523DA04-507C-44CA-A773-D2EEB2342091}" xr6:coauthVersionLast="47" xr6:coauthVersionMax="47" xr10:uidLastSave="{00000000-0000-0000-0000-000000000000}"/>
  <bookViews>
    <workbookView xWindow="-120" yWindow="-120" windowWidth="29040" windowHeight="15720" activeTab="3" xr2:uid="{367E676C-AC44-48F2-93BC-01FA67C177CA}"/>
  </bookViews>
  <sheets>
    <sheet name="Summary" sheetId="6" r:id="rId1"/>
    <sheet name="Test Req" sheetId="5" r:id="rId2"/>
    <sheet name="Scenario" sheetId="2" r:id="rId3"/>
    <sheet name="TestCase"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6" i="6" l="1"/>
  <c r="K305" i="4"/>
  <c r="K306" i="4"/>
</calcChain>
</file>

<file path=xl/sharedStrings.xml><?xml version="1.0" encoding="utf-8"?>
<sst xmlns="http://schemas.openxmlformats.org/spreadsheetml/2006/main" count="1793" uniqueCount="1278">
  <si>
    <t>OVERALL INFORMATION</t>
  </si>
  <si>
    <t>Test Purpose</t>
  </si>
  <si>
    <t>Test Func</t>
  </si>
  <si>
    <t>Number of testers</t>
  </si>
  <si>
    <t>OVERALL STATUS</t>
  </si>
  <si>
    <t>Total Number of Test Cases</t>
  </si>
  <si>
    <t>Executed</t>
  </si>
  <si>
    <t>Passed</t>
  </si>
  <si>
    <t>Failed</t>
  </si>
  <si>
    <t>Total Tests Executed
(Passed + Failed)</t>
  </si>
  <si>
    <t>Not Executed</t>
  </si>
  <si>
    <t>Test Subject</t>
  </si>
  <si>
    <t>Priority</t>
  </si>
  <si>
    <t>Total Test Cases</t>
  </si>
  <si>
    <t>Test Runs</t>
  </si>
  <si>
    <t>Note</t>
  </si>
  <si>
    <t>F1. Authentication</t>
  </si>
  <si>
    <t>High</t>
  </si>
  <si>
    <t>Cơ bản ổn định. Lỗi chủ yếu nằm ở việc điều hướng trang sau khi đăng nhập và thiếu thông báo khi dùng chức năng "Forgot login info".</t>
  </si>
  <si>
    <t>F2. Accounts Overview</t>
  </si>
  <si>
    <t>Tính năng hoạt động tốt, hiển thị và cộng tổng số dư chính xác.</t>
  </si>
  <si>
    <t>F3. Open New Account</t>
  </si>
  <si>
    <t>Lỗ hổng logic nghiêm trọng: Hệ thống vẫn cho phép mở tài khoản mới ngay cả khi tài khoản nguồn không đủ tiền tối thiểu.</t>
  </si>
  <si>
    <t>F4. Transfer Funds</t>
  </si>
  <si>
    <r>
      <rPr>
        <sz val="11"/>
        <color theme="1"/>
        <rFont val="Arial"/>
        <family val="2"/>
      </rPr>
      <t>RỦI RO RẤT CAO.</t>
    </r>
    <r>
      <rPr>
        <sz val="11"/>
        <color theme="1"/>
        <rFont val="Aptos Narrow"/>
        <family val="2"/>
        <scheme val="minor"/>
      </rPr>
      <t xml:space="preserve"> Hệ thống thiếu hụt hàng loạt validation (kiểm tra hợp lệ) cơ bản: Cho phép chuyển số tiền ÂM, chuyển chữ cái, chuyển số tiền vượt quá số dư thực tế và dính lỗ hổng XSS Injection.</t>
    </r>
  </si>
  <si>
    <t>F5. Bill Pay</t>
  </si>
  <si>
    <t>Rủi ro cao về bảo mật tài chính. Tương tự F4, form thanh toán cho phép nhập số tiền âm, thanh toán vượt số dư và không bắt lỗi khi Account / Verify Account không khớp nhau.</t>
  </si>
  <si>
    <t>F6. Find Transactions</t>
  </si>
  <si>
    <t>Medium</t>
  </si>
  <si>
    <t>Xử lý ngoại lệ (Exception Handling) kém. Hệ thống thường im lặng, không có các thông báo lỗi (Validation Error) rõ ràng khi người dùng nhập sai định dạng ngày hoặc ký tự lạ.</t>
  </si>
  <si>
    <t>F7. Admin Dashboard</t>
  </si>
  <si>
    <t>Các chức năng Init/Clean Database hoạt động trơn tru. Tuy nhiên lượng Test Case tồn đọng chưa chạy còn quá nhiều (37 cases), cần ưu tiên thời gian test nốt.</t>
  </si>
  <si>
    <t>F8. Update Contact Info</t>
  </si>
  <si>
    <t>Low</t>
  </si>
  <si>
    <t>Chưa có dữ liệu thực thi (Not Executed). Cần lên kế hoạch chạy test.</t>
  </si>
  <si>
    <t>F9. Request Loan</t>
  </si>
  <si>
    <t>Nghiệp vụ xử lý từ chối/phê duyệt khoản vay hoạt động tốt. 1 case Fail do lỗi phần tử giao diện (ElementNotInteractable).</t>
  </si>
  <si>
    <t>F10. GUI &amp; Smoke Test</t>
  </si>
  <si>
    <t>: Chưa thực thi (Not Executed)</t>
  </si>
  <si>
    <t>TỔNG CỘNG</t>
  </si>
  <si>
    <t>No.</t>
  </si>
  <si>
    <t>Test Requirement ID</t>
  </si>
  <si>
    <t>Requirement Functions</t>
  </si>
  <si>
    <t>Mô tả chức năng</t>
  </si>
  <si>
    <t>Test Requirement Description</t>
  </si>
  <si>
    <t>Test Type</t>
  </si>
  <si>
    <t>Importance</t>
  </si>
  <si>
    <t>Number of TCs</t>
  </si>
  <si>
    <t>TR_F1</t>
  </si>
  <si>
    <t>Authentication</t>
  </si>
  <si>
    <t>Quản lý định danh và truy cập</t>
  </si>
  <si>
    <t>Bao gồm Đăng ký, Đăng nhập, Đăng xuất và Khôi phục tài khoản.</t>
  </si>
  <si>
    <t>Functional, Security</t>
  </si>
  <si>
    <t>Quản lý luồng người dùng ra/vào hệ thống.</t>
  </si>
  <si>
    <t>TR_F1.1</t>
  </si>
  <si>
    <t>Register</t>
  </si>
  <si>
    <t>Đăng ký tài khoản mới.</t>
  </si>
  <si>
    <t>Hệ thống cho phép người dùng tạo tài khoản mới. Cần validate các trường bắt buộc, định dạng (đặc biệt là Confirm Password) và xử lý ngoại lệ khi username đã tồn tại.</t>
  </si>
  <si>
    <t>Chú ý các ký tự đặc biệt, validate form.</t>
  </si>
  <si>
    <t>TR_F1.2</t>
  </si>
  <si>
    <t>Login</t>
  </si>
  <si>
    <t>Đăng nhập hệ thống.</t>
  </si>
  <si>
    <t>Hệ thống xác thực thông tin đăng nhập (username/password). Xử lý đúng khi sai thông tin, tài khoản không tồn tại hoặc để trống.</t>
  </si>
  <si>
    <t>TR_F1.3</t>
  </si>
  <si>
    <t>Forgot Login Info</t>
  </si>
  <si>
    <t>Khôi phục thông tin đăng nhập.</t>
  </si>
  <si>
    <t>Hệ thống cho phép tìm lại thông tin đăng nhập dựa trên các thông tin cá nhân (First Name, Last Name, Address, SSN...).</t>
  </si>
  <si>
    <t>Functional</t>
  </si>
  <si>
    <t>TR_F1.4</t>
  </si>
  <si>
    <t>Logout</t>
  </si>
  <si>
    <t>Đăng xuất khỏi hệ thống.</t>
  </si>
  <si>
    <t>Hệ thống hủy phiên làm việc (session) hiện tại và điều hướng người dùng về trang chủ (hoặc trang login).</t>
  </si>
  <si>
    <t>TR_F2</t>
  </si>
  <si>
    <t>Accounts Overview</t>
  </si>
  <si>
    <t>Hiển thị tổng quan tài khoản</t>
  </si>
  <si>
    <t>Hiển thị danh sách tài khoản, số dư tổng, khả dụng và chi tiết lịch sử.</t>
  </si>
  <si>
    <t>Test kỹ logic tính toán số dư.</t>
  </si>
  <si>
    <t>TR_F2.1</t>
  </si>
  <si>
    <t>Accounts List</t>
  </si>
  <si>
    <t>Hiển thị danh sách tài khoản ở màn hình Overview.</t>
  </si>
  <si>
    <t>Hệ thống liệt kê tất cả các tài khoản (Checking, Savings, Loan) của user. Tính toán và hiển thị đúng Total Balance.</t>
  </si>
  <si>
    <t>TR_F2.2</t>
  </si>
  <si>
    <t>Account Details</t>
  </si>
  <si>
    <t>Hiển thị chi tiết và lịch sử một tài khoản.</t>
  </si>
  <si>
    <t>Khi click vào một Account Number, hệ thống hiển thị chi tiết số dư, trạng thái và danh sách các giao dịch (Account Activity) của tài khoản đó.</t>
  </si>
  <si>
    <t>TR_F3</t>
  </si>
  <si>
    <t>Open New Account</t>
  </si>
  <si>
    <t>Mở tài khoản mới</t>
  </si>
  <si>
    <t>Luồng chọn loại tài khoản và xử lý cấp số tài khoản mới.</t>
  </si>
  <si>
    <t>Cần đảm bảo giới hạn bảo mật ở các thao tác form.</t>
  </si>
  <si>
    <t>TR_F3.1</t>
  </si>
  <si>
    <t>Select Account Type</t>
  </si>
  <si>
    <t>Chọn loại tài khoản và tài khoản nguồn.</t>
  </si>
  <si>
    <t>Hệ thống hiển thị form chọn loại tài khoản (Checking/Savings) và chọn tài khoản nguồn để trích tiền nạp vào tài khoản mới.</t>
  </si>
  <si>
    <t>Inspect element để kiểm tra bảo mật form.</t>
  </si>
  <si>
    <t>TR_F3.2</t>
  </si>
  <si>
    <t>Confirm Open Account</t>
  </si>
  <si>
    <t>Xử lý mở tài khoản và cấp số tài khoản mới.</t>
  </si>
  <si>
    <t>Hệ thống xử lý giao dịch, tự động trừ tiền từ tài khoản nguồn (tối thiểu theo cấu hình, ví dụ $100) và trả về Số tài khoản mới.</t>
  </si>
  <si>
    <t>Cần test logic nghiệp vụ khi số dư nguồn không đủ.</t>
  </si>
  <si>
    <t>TR_F4</t>
  </si>
  <si>
    <t>Transfer Funds</t>
  </si>
  <si>
    <t>Chuyển tiền nội bộ</t>
  </si>
  <si>
    <t>Quản lý form nhập liệu và xử lý luồng giao dịch chuyển tiền.</t>
  </si>
  <si>
    <t>Chú ý tối đa các ngoại lệ về định dạng tiền và ranh giới số dư.</t>
  </si>
  <si>
    <t>TR_F4.1</t>
  </si>
  <si>
    <t>Transfer Form</t>
  </si>
  <si>
    <t>Nhập thông tin chuyển tiền.</t>
  </si>
  <si>
    <t>Hệ thống hiển thị form nhập số tiền (Amount), chọn tài khoản nguồn (From) và tài khoản đích (To). Cần validate chống trùng tài khoản, định dạng số tiền.</t>
  </si>
  <si>
    <t>Test số âm, ký tự lạ, khoảng trắng.</t>
  </si>
  <si>
    <t>TR_F4.2</t>
  </si>
  <si>
    <t>Transfer Processing</t>
  </si>
  <si>
    <t>Xử lý giao dịch chuyển tiền.</t>
  </si>
  <si>
    <t>Hệ thống thực hiện trừ tiền tài khoản nguồn, cộng tiền tài khoản đích và lưu lịch sử giao dịch. Xử lý ngoại lệ khi vượt quá số dư.</t>
  </si>
  <si>
    <t>Chú ý test phân quyền, SQLi hoặc XSS.</t>
  </si>
  <si>
    <t>TR_F5</t>
  </si>
  <si>
    <t>Bill Pay</t>
  </si>
  <si>
    <t>Thanh toán hóa đơn</t>
  </si>
  <si>
    <t>Ghi nhận thông tin người nhận và xử lý thanh toán.</t>
  </si>
  <si>
    <t>Validate tính khớp nối thông tin.</t>
  </si>
  <si>
    <t>TR_F5.1</t>
  </si>
  <si>
    <t>Payee Information</t>
  </si>
  <si>
    <t>Nhập thông tin người nhận thanh toán.</t>
  </si>
  <si>
    <t>Hệ thống cung cấp form nhập thông tin Payee (Tên, Địa chỉ, Phone, Account, Verify Account, Amount). Validate tính khớp nối của Account và Verify Account.</t>
  </si>
  <si>
    <t>TR_F5.2</t>
  </si>
  <si>
    <t>Payment Processing</t>
  </si>
  <si>
    <t>Xử lý thanh toán hóa đơn.</t>
  </si>
  <si>
    <t>Hệ thống trích tiền từ tài khoản đã chọn để thanh toán cho Payee. Cập nhật số dư và ghi nhận vào lịch sử giao dịch.</t>
  </si>
  <si>
    <t>TR_F6</t>
  </si>
  <si>
    <t>Find Transactions</t>
  </si>
  <si>
    <t>Tìm kiếm giao dịch</t>
  </si>
  <si>
    <t>Bộ lọc đa dạng: theo ID, Ngày, Khoảng thời gian, Số tiền.</t>
  </si>
  <si>
    <t>Test kỹ các input không hợp lệ hoặc rỗng.</t>
  </si>
  <si>
    <t>TR_F6.1</t>
  </si>
  <si>
    <t>Find by Transaction ID</t>
  </si>
  <si>
    <t>Tìm giao dịch theo ID.</t>
  </si>
  <si>
    <t>Hệ thống trả về đúng giao dịch khi nhập ID hợp lệ. Xử lý thông báo khi không tìm thấy.</t>
  </si>
  <si>
    <t>Bao gồm cả các test case ngoại lệ/bảo mật.</t>
  </si>
  <si>
    <t>TR_F6.2</t>
  </si>
  <si>
    <t>Find by Date</t>
  </si>
  <si>
    <t>Tìm giao dịch theo ngày cụ thể.</t>
  </si>
  <si>
    <t>Hệ thống lọc và hiển thị danh sách giao dịch diễn ra trong ngày được nhập (định dạng mm-dd-yyyy).</t>
  </si>
  <si>
    <t>TR_F6.3</t>
  </si>
  <si>
    <t>Find by Date Range</t>
  </si>
  <si>
    <t>Tìm giao dịch theo khoảng thời gian.</t>
  </si>
  <si>
    <t>Hệ thống lọc giao dịch từ ngày (Between) đến ngày (And). Cần validate logic ngày Start &lt;= ngày End.</t>
  </si>
  <si>
    <t>Logic test: Start &gt; End.</t>
  </si>
  <si>
    <t>TR_F6.4</t>
  </si>
  <si>
    <t>Find by Amount</t>
  </si>
  <si>
    <t>Tìm giao dịch theo số tiền.</t>
  </si>
  <si>
    <t>Hệ thống lọc các giao dịch khớp với số tiền được nhập.</t>
  </si>
  <si>
    <t>Bao gồm cả các test case ngoại lệ.</t>
  </si>
  <si>
    <t>TR_F7</t>
  </si>
  <si>
    <t>Admin Dashboard</t>
  </si>
  <si>
    <t>Quản trị hệ thống</t>
  </si>
  <si>
    <t>Quản lý Database, Endpoints, Tham số hệ thống của Parabank.</t>
  </si>
  <si>
    <t>API, Functional, Security</t>
  </si>
  <si>
    <t>Khu vực nhạy cảm, cần đảm bảo không ảnh hưởng môi trường chung.</t>
  </si>
  <si>
    <t>TR_F7.1</t>
  </si>
  <si>
    <t>Database Management</t>
  </si>
  <si>
    <t>Quản lý cơ sở dữ liệu hệ thống (Admin).</t>
  </si>
  <si>
    <t>Admin có thể thao tác Khởi tạo (Initialize) hoặc Làm sạch (Clean) cơ sở dữ liệu.</t>
  </si>
  <si>
    <t>Cẩn trọng test trên môi trường chung.</t>
  </si>
  <si>
    <t>TR_F7.2</t>
  </si>
  <si>
    <t>Service &amp; Endpoints</t>
  </si>
  <si>
    <t>Cấu hình dịch vụ và Endpoint (Admin).</t>
  </si>
  <si>
    <t>Admin có thể quản lý JMS Service, chuyển đổi Data Access Mode (SOAP/REST) và cập nhật Endpoint cho LoanProcessor.</t>
  </si>
  <si>
    <t>API, Functional</t>
  </si>
  <si>
    <t>Cần test tích hợp qua WSDL, OpenAPI.</t>
  </si>
  <si>
    <t>TR_F7.3</t>
  </si>
  <si>
    <t>System Parameters</t>
  </si>
  <si>
    <t>Thiết lập tham số hệ thống (Admin).</t>
  </si>
  <si>
    <t>Admin có thể thay đổi Initial Balance, Minimum Balance, cấu hình nhà cung cấp khoản vay (Loan Provider) và các ngưỡng (Threshold).</t>
  </si>
  <si>
    <t>Equivalence Partitioning, Test 0%, 100%, số âm.</t>
  </si>
  <si>
    <t>TR_F8</t>
  </si>
  <si>
    <t>Update Contact Info</t>
  </si>
  <si>
    <t>Cập nhật thông tin</t>
  </si>
  <si>
    <t>Hiển thị và lưu trữ thông tin cá nhân mới của user.</t>
  </si>
  <si>
    <t>TR_F8.1</t>
  </si>
  <si>
    <t>View Profile Form</t>
  </si>
  <si>
    <t>Hiển thị form thông tin cá nhân.</t>
  </si>
  <si>
    <t>Hệ thống load chính xác thông tin cá nhân hiện tại của user (Tên, địa chỉ, SĐT...) vào form.</t>
  </si>
  <si>
    <t>TR_F8.2</t>
  </si>
  <si>
    <t>Update Profile Processing</t>
  </si>
  <si>
    <t>Lưu thông tin cá nhân mới.</t>
  </si>
  <si>
    <t>Hệ thống cập nhật thành công dữ liệu mới. Validate các trường bắt buộc không được để trống khi lưu.</t>
  </si>
  <si>
    <t>TR_F9</t>
  </si>
  <si>
    <t>Request Loan</t>
  </si>
  <si>
    <t>Yêu cầu vay vốn</t>
  </si>
  <si>
    <t>Quản lý form xin vay và tiến trình tự động duyệt khoản vay.</t>
  </si>
  <si>
    <t>TR_F9.1</t>
  </si>
  <si>
    <t>Apply for a Loan Form</t>
  </si>
  <si>
    <t>Nhập thông tin xin vay vốn.</t>
  </si>
  <si>
    <t>Hệ thống cung cấp form nhập số tiền vay (Loan Amount), tiền cọc/tài sản đảm bảo (Down Payment) và chọn tài khoản nhận giải ngân (From account).</t>
  </si>
  <si>
    <t>TR_F9.2</t>
  </si>
  <si>
    <t>Loan Processing</t>
  </si>
  <si>
    <t>Xử lý duyệt/từ chối khoản vay.</t>
  </si>
  <si>
    <t>Hệ thống áp dụng logic của Loan Provider để tự động Phê duyệt (Approved) hoặc Từ chối (Denied) khoản vay. Nếu duyệt, tự động cộng tiền vào tài khoản nhận.</t>
  </si>
  <si>
    <t>Đánh giá nghiệp vụ (Tiền cọc thấp/Khoản vay lớn).</t>
  </si>
  <si>
    <t>TR_F10</t>
  </si>
  <si>
    <t>GUI &amp; Smoke Test</t>
  </si>
  <si>
    <t>Giao diện và Phiên làm việc</t>
  </si>
  <si>
    <t>Đảm bảo Layout ổn định và quản lý thời gian/bảo mật session.</t>
  </si>
  <si>
    <t>GUI, Security</t>
  </si>
  <si>
    <t>Kiểm tra tương tác nền tảng.</t>
  </si>
  <si>
    <t>TR_F10.1</t>
  </si>
  <si>
    <t>Global Navigation</t>
  </si>
  <si>
    <t>Điều hướng và hiển thị giao diện chung.</t>
  </si>
  <si>
    <t>Các menu Header/Footer, Left Menu hoạt động ổn định trên các trang. Giao diện hiển thị đúng chuẩn, không bị vỡ layout.</t>
  </si>
  <si>
    <t>GUI</t>
  </si>
  <si>
    <t>TR_F10.2</t>
  </si>
  <si>
    <t>Session Management</t>
  </si>
  <si>
    <t>Quản lý phiên đăng nhập và đồng thời.</t>
  </si>
  <si>
    <t>Hệ thống xử lý timeout khi không có tương tác. Quản lý đồng bộ dữ liệu khi user thao tác trên nhiều tab cùng lúc.</t>
  </si>
  <si>
    <t>Security, Performance</t>
  </si>
  <si>
    <t>Đăng nhập nhiều tab, Timeout.</t>
  </si>
  <si>
    <t>Module</t>
  </si>
  <si>
    <t>Requirement ID</t>
  </si>
  <si>
    <t>Scenario ID</t>
  </si>
  <si>
    <t>Kịch Bản Kiểm Thử (Test Scenario)</t>
  </si>
  <si>
    <t>Bao gồm các Test Cases tiêu biểu</t>
  </si>
  <si>
    <t>Tester</t>
  </si>
  <si>
    <t>Notes</t>
  </si>
  <si>
    <t>TS_F1_01</t>
  </si>
  <si>
    <t>Kiểm tra đăng ký tài khoản mới với thông tin hợp lệ (Happy Path)</t>
  </si>
  <si>
    <t>TC_F1.1</t>
  </si>
  <si>
    <t>Danh</t>
  </si>
  <si>
    <t>TS_F1_02</t>
  </si>
  <si>
    <t>Validate các trường dữ liệu bắt buộc trên form Đăng ký</t>
  </si>
  <si>
    <t>TC_F1.2, TC_F1.12</t>
  </si>
  <si>
    <t>TS_F1_03</t>
  </si>
  <si>
    <t>Kiểm tra tính toàn vẹn và định dạng dữ liệu form Đăng ký</t>
  </si>
  <si>
    <t>TC_F1.3, TC_F1.5</t>
  </si>
  <si>
    <t>Check Confirm Pass, chữ cái.</t>
  </si>
  <si>
    <t>TS_F1_04</t>
  </si>
  <si>
    <t>Xử lý ngoại lệ khi đăng ký tài khoản trùng lặp</t>
  </si>
  <si>
    <t>TC_F1.4</t>
  </si>
  <si>
    <t>TS_F1_05</t>
  </si>
  <si>
    <t>Đăng nhập hệ thống với Account hợp lệ</t>
  </si>
  <si>
    <t>TC_F1.6</t>
  </si>
  <si>
    <t>TS_F1_06</t>
  </si>
  <si>
    <t>Xử lý lỗi đăng nhập sai thông tin hoặc tài khoản không tồn tại</t>
  </si>
  <si>
    <t>TC_F1.7, TC_F1.8, TC_F1.9</t>
  </si>
  <si>
    <t>TR_F1.3, TR_F1.4</t>
  </si>
  <si>
    <t>TS_F1_07</t>
  </si>
  <si>
    <t>Tính năng khôi phục tài khoản (Forgot Info) và Đăng xuất</t>
  </si>
  <si>
    <t>TC_F1.10, TC_F1.11</t>
  </si>
  <si>
    <t>TS_F2_01</t>
  </si>
  <si>
    <t>Hiển thị danh sách tài khoản và tổng quan số dư</t>
  </si>
  <si>
    <t>TC_F2.1, TC_F2.2</t>
  </si>
  <si>
    <t>TS_F2_02</t>
  </si>
  <si>
    <t>Kiểm tra logic tính toán số tổng (Total Balance) và Khả dụng</t>
  </si>
  <si>
    <t>TC_F2.3, TC_F2.5</t>
  </si>
  <si>
    <t>TS_F2_03</t>
  </si>
  <si>
    <t>Điều hướng chi tiết lịch sử từng tài khoản</t>
  </si>
  <si>
    <t>TC_F2.4</t>
  </si>
  <si>
    <t>TS_F3_01</t>
  </si>
  <si>
    <t>Mở tài khoản Checking/Savings thành công</t>
  </si>
  <si>
    <t>TC_F3.1, TC_F3.2, TC_F3.3, TC_F3.4</t>
  </si>
  <si>
    <t>TS_F3_02</t>
  </si>
  <si>
    <t>Kiểm tra logic nghiệp vụ số dư tối thiểu khi mở tài khoản</t>
  </si>
  <si>
    <t>TC_F3.5, TC_F3.6</t>
  </si>
  <si>
    <t>Test mức $100.</t>
  </si>
  <si>
    <t>TS_F3_03</t>
  </si>
  <si>
    <t>Kiểm thử bảo mật và giới hạn thao tác người dùng trên form</t>
  </si>
  <si>
    <t>TC_F3.7, TC_F3.8, TC_F3.9</t>
  </si>
  <si>
    <t>Rapid click, Inspect element.</t>
  </si>
  <si>
    <t>TS_F4_01</t>
  </si>
  <si>
    <t>Thực hiện chuyển tiền nội bộ thành công</t>
  </si>
  <si>
    <t>TC_F4.1, TC_F4.5, TC_F4.15</t>
  </si>
  <si>
    <t>TS_F4_02</t>
  </si>
  <si>
    <t>Chuyển tiền với số tiền tối đa (Max Boundary)</t>
  </si>
  <si>
    <t>TC_F4.2</t>
  </si>
  <si>
    <t>TS_F4_03</t>
  </si>
  <si>
    <t>Validate logic chặn chuyển số tiền vượt quá số dư</t>
  </si>
  <si>
    <t>TC_F4.6, TC_F4.10</t>
  </si>
  <si>
    <t>TS_F4_04</t>
  </si>
  <si>
    <t>Validate định dạng nhập liệu của trường Số tiền (Amount)</t>
  </si>
  <si>
    <t>TC_F4.3, TC_F4.4, TC_F4.9, TC_F4.13</t>
  </si>
  <si>
    <t>Số âm, ký tự lạ, khoảng trắng.</t>
  </si>
  <si>
    <t>TS_F4_05</t>
  </si>
  <si>
    <t>Validate logic chọn tài khoản nguồn và đích trùng nhau</t>
  </si>
  <si>
    <t>TC_F4.7</t>
  </si>
  <si>
    <t>TS_F4_06</t>
  </si>
  <si>
    <t>Xử lý ngoại lệ khi bỏ trống thông tin chuyển tiền</t>
  </si>
  <si>
    <t>TC_F4.8</t>
  </si>
  <si>
    <t>TS_F4_07</t>
  </si>
  <si>
    <t>Kiểm thử bảo mật (XSS, Phân quyền) trên chức năng Transfer</t>
  </si>
  <si>
    <t>TC_F4.11, TC_F4.12, TC_F4.14</t>
  </si>
  <si>
    <t>TS_F5_01</t>
  </si>
  <si>
    <t>Thanh toán hóa đơn thành công với dữ liệu chuẩn</t>
  </si>
  <si>
    <t>TC_F5.1</t>
  </si>
  <si>
    <t>TS_F5_02</t>
  </si>
  <si>
    <t>Validate các trường thông tin Payee bắt buộc</t>
  </si>
  <si>
    <t>TC_F5.2</t>
  </si>
  <si>
    <t>TS_F5_03</t>
  </si>
  <si>
    <t>Validate tính khớp nối của Số tài khoản (Account vs Verify)</t>
  </si>
  <si>
    <t>TC_F5.4, TC_F5.5</t>
  </si>
  <si>
    <t>TS_F5_04</t>
  </si>
  <si>
    <t>Kiểm tra định dạng dữ liệu Zip Code và Amount</t>
  </si>
  <si>
    <t>TC_F5.3, TC_F5.6, TC_F5.7</t>
  </si>
  <si>
    <t>TS_F6_01</t>
  </si>
  <si>
    <t>Tìm kiếm chính xác theo Transaction ID</t>
  </si>
  <si>
    <t>TC_F6.1, TC_F6.5, TC_F6.13</t>
  </si>
  <si>
    <t>TS_F6_02</t>
  </si>
  <si>
    <t>Tìm kiếm theo Ngày giao dịch (Date) hợp lệ và ngoại lệ</t>
  </si>
  <si>
    <t>TC_F6.2, TC_F6.6, TC_F6.7</t>
  </si>
  <si>
    <t>TS_F6_03</t>
  </si>
  <si>
    <t>Tìm kiếm theo Khoảng thời gian (Date Range)</t>
  </si>
  <si>
    <t>TC_F6.8, TC_F6.9, TC_F6.10</t>
  </si>
  <si>
    <t>TS_F6_04</t>
  </si>
  <si>
    <t>Tìm kiếm theo Số tiền (Amount) và các giá trị không tồn tại</t>
  </si>
  <si>
    <t>TC_F6.3, TC_F6.4, TC_F6.11</t>
  </si>
  <si>
    <t>TR_F6.1 - 6.4</t>
  </si>
  <si>
    <t>TS_F6_05</t>
  </si>
  <si>
    <t>Xử lý ngoại lệ khi tìm kiếm không điều kiện hoặc SQLi</t>
  </si>
  <si>
    <t>TC_F6.12, TC_F6.14</t>
  </si>
  <si>
    <t>TS_F7_01</t>
  </si>
  <si>
    <t>Khởi tạo và làm sạch cơ sở dữ liệu hệ thống</t>
  </si>
  <si>
    <t>TC_F7.1, TC_F7.2</t>
  </si>
  <si>
    <t>Cẩn trọng test môi trường.</t>
  </si>
  <si>
    <t>TS_F7_02</t>
  </si>
  <si>
    <t>Quản lý trạng thái hoạt động của JMS Service</t>
  </si>
  <si>
    <t>TC_F7.3, TC_F7.4</t>
  </si>
  <si>
    <t>TS_F7_03</t>
  </si>
  <si>
    <t>Chuyển đổi và áp dụng các chế độ Data Access Mode</t>
  </si>
  <si>
    <t>TC_F7.5, TC_F7.6, TC_F7.7, TC_F7.8</t>
  </si>
  <si>
    <t>TS_F7_04</t>
  </si>
  <si>
    <t>Cập nhật cấu hình SOAP Endpoint</t>
  </si>
  <si>
    <t>TC_F7.9, TC_F7.10, TC_F7.11</t>
  </si>
  <si>
    <t>TS_F7_05</t>
  </si>
  <si>
    <t>Cập nhật cấu hình REST Endpoint</t>
  </si>
  <si>
    <t>TC_F7.12, TC_F7.13, TC_F7.14</t>
  </si>
  <si>
    <t>TS_F7_06</t>
  </si>
  <si>
    <t>Cập nhật Endpoint cho LoanProcessor</t>
  </si>
  <si>
    <t>TC_F7.15</t>
  </si>
  <si>
    <t>TS_F7_07</t>
  </si>
  <si>
    <t>Kiểm tra truy cập các tài liệu Web Service API</t>
  </si>
  <si>
    <t>TC_F7.16, TC_F7.17, TC_F7.18, TC_F7.19</t>
  </si>
  <si>
    <t>WSDL, WADL, OpenAPI.</t>
  </si>
  <si>
    <t>TS_F7_08</t>
  </si>
  <si>
    <t>Thiết lập tham số Initial Balance với các giá trị biên</t>
  </si>
  <si>
    <t>TC_F7.20, TC_F7.21, TC_F7.22, TC_F7.23, TC_F7.24, TC_F7.42</t>
  </si>
  <si>
    <t>Equivalence Partitioning.</t>
  </si>
  <si>
    <t>TS_F7_09</t>
  </si>
  <si>
    <t>Thiết lập tham số Minimum Balance và kiểm tra logic ràng buộc</t>
  </si>
  <si>
    <t>TC_F7.25, TC_F7.26, TC_F7.27</t>
  </si>
  <si>
    <t>TS_F7_10</t>
  </si>
  <si>
    <t>Thay đổi nhà cung cấp khoản vay (Loan Provider)</t>
  </si>
  <si>
    <t>TC_F7.28, TC_F7.29, TC_F7.30</t>
  </si>
  <si>
    <t>TS_F7_11</t>
  </si>
  <si>
    <t>Thay đổi logic xử lý khoản vay (Loan Processor)</t>
  </si>
  <si>
    <t>TC_F7.31, TC_F7.32, TC_F7.33</t>
  </si>
  <si>
    <t>TS_F7_12</t>
  </si>
  <si>
    <t>Validation tham số Threshold phần trăm (Boundary &amp; Format)</t>
  </si>
  <si>
    <t>TC_F7.34, TC_F7.35, TC_F7.36, TC_F7.37, TC_F7.38, TC_F7.39, TC_F7.40</t>
  </si>
  <si>
    <t>Test 0%, 100%, số âm.</t>
  </si>
  <si>
    <t>TR_F7.1 - 7.3</t>
  </si>
  <si>
    <t>TS_F7_13</t>
  </si>
  <si>
    <t>Kiểm tra luồng xử lý form Submit và bảo mật trang Admin</t>
  </si>
  <si>
    <t>TC_F7.41, TC_F7.43, TC_F7.44, TC_F7.45, TC_F7.46</t>
  </si>
  <si>
    <t>Phân quyền, SQLi.</t>
  </si>
  <si>
    <t>TS_F8_01</t>
  </si>
  <si>
    <t>Cập nhật và lưu mới thông tin liên hệ thành công</t>
  </si>
  <si>
    <t>TC_F8.1, TC_F8.2</t>
  </si>
  <si>
    <t>TS_F8_02</t>
  </si>
  <si>
    <t>Validate các ràng buộc dữ liệu đầu vào trên form Update</t>
  </si>
  <si>
    <t>TC_F8.3, TC_F8.4, TC_F8.5</t>
  </si>
  <si>
    <t>TS_F9_01</t>
  </si>
  <si>
    <t>Đánh giá nghiệp vụ từ chối khoản vay (Tiền cọc thấp/Khoản vay lớn)</t>
  </si>
  <si>
    <t>TC_F9.1, TC_F9.2</t>
  </si>
  <si>
    <t>TS_F9_02</t>
  </si>
  <si>
    <t>Xác minh tài khoản nhận giải ngân khoản vay</t>
  </si>
  <si>
    <t>TC_F9.3</t>
  </si>
  <si>
    <t>TS_F9_03</t>
  </si>
  <si>
    <t>Validate định dạng nhập liệu trên form vay vốn</t>
  </si>
  <si>
    <t>TC_F9.4, TC_F9.5</t>
  </si>
  <si>
    <t>TS_F10_01</t>
  </si>
  <si>
    <t>Kiểm thử giao diện hiển thị, điều hướng và Responsive</t>
  </si>
  <si>
    <t>TC_F10.1, TC_F10.2, TC_F10.3, TC_F10.4, TC_F10.7</t>
  </si>
  <si>
    <t>TS_F10_02</t>
  </si>
  <si>
    <t>Kiểm thử tính đồng thời (Concurrency) và bảo mật phiên (Session)</t>
  </si>
  <si>
    <t>TC_F10.5, TC_F10.6, TC_F10.8</t>
  </si>
  <si>
    <t>Test Case ID</t>
  </si>
  <si>
    <t>Test Objective</t>
  </si>
  <si>
    <t>Pre-conditions (Điều kiện)</t>
  </si>
  <si>
    <t>Step #</t>
  </si>
  <si>
    <t>Step Action</t>
  </si>
  <si>
    <t>Test Data</t>
  </si>
  <si>
    <t>Expected Result</t>
  </si>
  <si>
    <t>Result</t>
  </si>
  <si>
    <t>By tester</t>
  </si>
  <si>
    <t>TR_AUTH_01</t>
  </si>
  <si>
    <t>Đăng ký thành công với đầy đủ thông tin hợp lệ</t>
  </si>
  <si>
    <t>Chưa có tài khoản</t>
  </si>
  <si>
    <t>Truy cập trang chủ ParaBank</t>
  </si>
  <si>
    <t>Hiển thị trang chủ</t>
  </si>
  <si>
    <t>Đăng ký thành công. Đã chuyển sang màn hình Welcome user_20260325074253</t>
  </si>
  <si>
    <t>PASS</t>
  </si>
  <si>
    <t>Duy</t>
  </si>
  <si>
    <t>Click vào link "Register"</t>
  </si>
  <si>
    <t>Chuyển đến trang Đăng ký</t>
  </si>
  <si>
    <t>Nhập đầy đủ thông tin vào các trường (First Name, Last Name, Address...)</t>
  </si>
  <si>
    <t>Data hợp lệ</t>
  </si>
  <si>
    <t>Các trường được điền đầy đủ</t>
  </si>
  <si>
    <t>Click nút "Register"</t>
  </si>
  <si>
    <t>Chuyển sang màn hình "Welcome"</t>
  </si>
  <si>
    <t>TR_AUTH_02</t>
  </si>
  <si>
    <t>TC_F1.2</t>
  </si>
  <si>
    <t>Đăng ký thất bại khi để trống các trường bắt buộc</t>
  </si>
  <si>
    <t>Truy cập trang Đăng ký</t>
  </si>
  <si>
    <t>Mở form đăng ký</t>
  </si>
  <si>
    <t>Hệ thống báo lỗi bắt buộc điền chuẩn xác: First name is required. | Last name is required. | Address is required. | City is required. | State is required. | Zip Code is required. | Social Security Number is required. | Username is required. | Password is required. | Password confirmation is required.</t>
  </si>
  <si>
    <t>Để trống toàn bộ các trường nhập liệu</t>
  </si>
  <si>
    <t>Blank</t>
  </si>
  <si>
    <t>Thông báo lỗi "First name is required", "Last name is required"... hiển thị</t>
  </si>
  <si>
    <t>TR_AUTH_03</t>
  </si>
  <si>
    <t>TC_F1.3</t>
  </si>
  <si>
    <t>Kiểm tra thông báo lỗi khi nhập "Confirm Password" không khớp</t>
  </si>
  <si>
    <t>Mở trang Đăng ký, điền các thông tin cơ bản</t>
  </si>
  <si>
    <t>Valid data</t>
  </si>
  <si>
    <t>Hệ thống báo lỗi chuẩn: Passwords did not match.</t>
  </si>
  <si>
    <t>Nhập vào trường Password</t>
  </si>
  <si>
    <t>Nhập vào trường Confirm Password khác với Password</t>
  </si>
  <si>
    <t>Click "Register"</t>
  </si>
  <si>
    <t>Thông báo "Passwords did not match"</t>
  </si>
  <si>
    <t>TR_AUTH_04</t>
  </si>
  <si>
    <t>Kiểm tra đăng ký với Username đã tồn tại</t>
  </si>
  <si>
    <t>Đã có TK user1</t>
  </si>
  <si>
    <t>Mở trang Đăng ký</t>
  </si>
  <si>
    <t>Hệ thống báo lỗi chuẩn: This username already exists.</t>
  </si>
  <si>
    <t>Điền thông tin, tại trường Username nhập lại "user1"</t>
  </si>
  <si>
    <t>user1</t>
  </si>
  <si>
    <t>Thông báo "This username already exists"</t>
  </si>
  <si>
    <t>TR_AUTH_05</t>
  </si>
  <si>
    <t>TC_F1.5</t>
  </si>
  <si>
    <t>Kiểm tra định dạng các trường số (Zip Code, Phone, SSN)</t>
  </si>
  <si>
    <t>Điền ký tự chữ vào các trường số (Zip Code, Phone, SSN)</t>
  </si>
  <si>
    <t>abc, xyz</t>
  </si>
  <si>
    <t>Thông báo lỗi định dạng dữ liệu</t>
  </si>
  <si>
    <t>TR_AUTH_06</t>
  </si>
  <si>
    <t>Đăng nhập thành công với Username và Password đúng</t>
  </si>
  <si>
    <t>Đã có tài khoản</t>
  </si>
  <si>
    <t>Truy cập trang chủ</t>
  </si>
  <si>
    <t>Đăng nhập thành công, đã chuyển sang trang Accounts Overview.</t>
  </si>
  <si>
    <t>Xem ảnh lỗi</t>
  </si>
  <si>
    <t>Tại khung "Customer Login", nhập Username đúng</t>
  </si>
  <si>
    <t>Valid User</t>
  </si>
  <si>
    <t>Nhập Password đúng</t>
  </si>
  <si>
    <t>Valid Pass</t>
  </si>
  <si>
    <t>Click "Log In"</t>
  </si>
  <si>
    <t>Đăng nhập thành công, chuyển sang Accounts Overview</t>
  </si>
  <si>
    <t>TR_AUTH_07</t>
  </si>
  <si>
    <t>TC_F1.7</t>
  </si>
  <si>
    <t>Đăng nhập thất bại với sai mật khẩu</t>
  </si>
  <si>
    <t>Tại khung Login, nhập Username đúng</t>
  </si>
  <si>
    <t>Hệ thống báo lỗi chuẩn: The username and password could not be verified.</t>
  </si>
  <si>
    <t>The username and password could not be verified</t>
  </si>
  <si>
    <t>Nhập Password sai</t>
  </si>
  <si>
    <t>WrongPass!</t>
  </si>
  <si>
    <t>Báo lỗi xác thực không thành công</t>
  </si>
  <si>
    <t>TR_AUTH_08</t>
  </si>
  <si>
    <t>TC_F1.8</t>
  </si>
  <si>
    <t>Đăng nhập thất bại khi tài khoản không tồn tại</t>
  </si>
  <si>
    <t>Mở trang chủ</t>
  </si>
  <si>
    <t>Tại khung Login, nhập Username không tồn tại</t>
  </si>
  <si>
    <t>User999</t>
  </si>
  <si>
    <t>Nhập Password bất kỳ</t>
  </si>
  <si>
    <t>TR_AUTH_09</t>
  </si>
  <si>
    <t>TC_F1.9</t>
  </si>
  <si>
    <t>Đăng nhập thất bại khi để trống cả hai trường</t>
  </si>
  <si>
    <t>Tại khung Login, không nhập gì cả</t>
  </si>
  <si>
    <t>Hệ thống báo lỗi chuẩn: Please enter a username and password.</t>
  </si>
  <si>
    <t>Please enter a username and password.</t>
  </si>
  <si>
    <t>Thông báo yêu cầu nhập User/Pass</t>
  </si>
  <si>
    <t>TR_AUTH_10</t>
  </si>
  <si>
    <t>TC_F1.10</t>
  </si>
  <si>
    <t>Kiểm tra chức năng "Forgot login info"</t>
  </si>
  <si>
    <t>Quên mật khẩu</t>
  </si>
  <si>
    <t>Click link "Forgot login info?"</t>
  </si>
  <si>
    <t>Mở form Lookup</t>
  </si>
  <si>
    <t>Lỗi: Lỗi: Thông báo trả về không đúng kỳ vọng. Actual: The customer information provided could not be found.</t>
  </si>
  <si>
    <t>FAIL</t>
  </si>
  <si>
    <t>Điền First Name, Last Name, Address, SSN</t>
  </si>
  <si>
    <t>Valid Data</t>
  </si>
  <si>
    <t>Click "Find My Login Info"</t>
  </si>
  <si>
    <t>Hiển thị thông tin đăng nhập</t>
  </si>
  <si>
    <t>TR_AUTH_11</t>
  </si>
  <si>
    <t>TC_F1.11</t>
  </si>
  <si>
    <t>Đăng xuất thành công và quay lại trang chủ</t>
  </si>
  <si>
    <t>Đang đăng nhập</t>
  </si>
  <si>
    <t>Tìm menu Account Services bên trái</t>
  </si>
  <si>
    <t>Đăng xuất thành công, đã hiển thị lại form đăng nhập bên tay trái.</t>
  </si>
  <si>
    <t>Click nút "Log Out"</t>
  </si>
  <si>
    <t>Trở về màn hình Login ban đầu</t>
  </si>
  <si>
    <t>TR_AUTH_12</t>
  </si>
  <si>
    <t>TC_F1.12</t>
  </si>
  <si>
    <t>Kiểm tra bỏ trống First Name khi Đăng ký</t>
  </si>
  <si>
    <t>Bỏ trống First Name, điền đầy đủ các ô còn lại</t>
  </si>
  <si>
    <t>Focus báo lỗi vào ô First Name</t>
  </si>
  <si>
    <t>TR_AOV_01</t>
  </si>
  <si>
    <t>TC_F2.1</t>
  </si>
  <si>
    <t>Hiển thị đúng  sách các tài khoản</t>
  </si>
  <si>
    <t>Đã đăng nhập</t>
  </si>
  <si>
    <t>Click menu "Accounts Overview"</t>
  </si>
  <si>
    <t>Hệ thống hiển thị 1 tài khoản trên lưới.</t>
  </si>
  <si>
    <t>Hào</t>
  </si>
  <si>
    <t>Quan sát bảng dữ liệu</t>
  </si>
  <si>
    <t>Hiển thị đủ các cột Account, Balance, Available Amount</t>
  </si>
  <si>
    <t>TR_AOV_02</t>
  </si>
  <si>
    <t>TC_F2.2</t>
  </si>
  <si>
    <t>Kiểm tra số dư (Balance) hiển thị chính xác</t>
  </si>
  <si>
    <t>Có số dư trong DB</t>
  </si>
  <si>
    <t>Mở trang Accounts Overview</t>
  </si>
  <si>
    <t>Hệ thống hiển thị số dư tài khoản đầu tiên là: $5022.93</t>
  </si>
  <si>
    <t>So sánh số liệu ở cột Balance với số tiền thực tế nạp vào</t>
  </si>
  <si>
    <t>Số tiền hiển thị khớp hoàn toàn</t>
  </si>
  <si>
    <t>TR_AOV_03</t>
  </si>
  <si>
    <t>TC_F2.3</t>
  </si>
  <si>
    <t>Kiểm tra tổng số dư (Total Balance)</t>
  </si>
  <si>
    <t>Có &gt;=2 tài khoản</t>
  </si>
  <si>
    <t>Xem  sách các số dư</t>
  </si>
  <si>
    <t>Hệ thống tính toán Total Balance là: $5022.93</t>
  </si>
  <si>
    <t>Cộng tay tất cả các giá trị ở cột Balance</t>
  </si>
  <si>
    <t>Khớp với con số ở dòng Total</t>
  </si>
  <si>
    <t>TR_AOV_04</t>
  </si>
  <si>
    <t>Click số tài khoản để xem chi tiết lịch sử</t>
  </si>
  <si>
    <t>Đang ở Overview</t>
  </si>
  <si>
    <t>Xác định các Account ID hiển thị dưới dạng link (màu xanh)</t>
  </si>
  <si>
    <t>Hệ thống chuyển hướng tới URL: https://parabank.parasoft.com/parabank/activity.htm?id=13344</t>
  </si>
  <si>
    <t>Click vào một số Account (VD: 14343)</t>
  </si>
  <si>
    <t>ID: 14343</t>
  </si>
  <si>
    <t>Chuyển hướng thành công sang trang Account Details</t>
  </si>
  <si>
    <t>TR_AOV_05</t>
  </si>
  <si>
    <t>TC_F2.5</t>
  </si>
  <si>
    <t>Kiểm tra cột Available Amount</t>
  </si>
  <si>
    <t>Có Account</t>
  </si>
  <si>
    <t>Quan sát cột Balance và Available Amount</t>
  </si>
  <si>
    <t>Kiểm tra logic nghiệp vụ</t>
  </si>
  <si>
    <t>Available = Balance (nếu không có khoản Hold)</t>
  </si>
  <si>
    <t>TR_ONA_01</t>
  </si>
  <si>
    <t>TC_F3.1</t>
  </si>
  <si>
    <t>Mở tài khoản "Savings" thành công</t>
  </si>
  <si>
    <t>From Acc &gt; $100</t>
  </si>
  <si>
    <t>Click menu "Open New Account"</t>
  </si>
  <si>
    <t>Mở màn hình chọn loại tài khoản</t>
  </si>
  <si>
    <t>Hệ thống báo: 'Account Opened!'. Số tài khoản mới sinh ra là: 16896</t>
  </si>
  <si>
    <t>Tại dropdown "What type...", chọn SAVINGS</t>
  </si>
  <si>
    <t>SAVINGS</t>
  </si>
  <si>
    <t>Tại dropdown "A minimum...", chọn tài khoản nguồn</t>
  </si>
  <si>
    <t>Click "Open New Account"</t>
  </si>
  <si>
    <t>Thông báo "Account Opened!" kèm Account Number mới</t>
  </si>
  <si>
    <t>TR_ONA_02</t>
  </si>
  <si>
    <t>TC_F3.2</t>
  </si>
  <si>
    <t>Mở tài khoản "Checking" thành công</t>
  </si>
  <si>
    <t>Mở trang Open New Account</t>
  </si>
  <si>
    <t>Hệ thống báo: 'Account Opened!'. Số TK mới sinh ra là: 17340</t>
  </si>
  <si>
    <t>Chọn loại tài khoản là CHECKING</t>
  </si>
  <si>
    <t>CHECKING</t>
  </si>
  <si>
    <t>Chọn tài khoản nguồn và click Submit</t>
  </si>
  <si>
    <t>Mở thành công Account ID mới</t>
  </si>
  <si>
    <t>TR_ONA_03</t>
  </si>
  <si>
    <t>TC_F3.3</t>
  </si>
  <si>
    <t>Kiểm tra xem TK mới xuất hiện trong Overview</t>
  </si>
  <si>
    <t>Vừa mở TK xong</t>
  </si>
  <si>
    <t>Nhớ số Account ID vừa được tạo mới</t>
  </si>
  <si>
    <t>Số tài khoản mới (17562) ĐÃ XUẤT HIỆN trong bảng Accounts Overview.</t>
  </si>
  <si>
    <t>Tìm số ID đó trong bảng  sách</t>
  </si>
  <si>
    <t>Số ID xuất hiện ở cuối bảng với số dư khởi tạo</t>
  </si>
  <si>
    <t>TR_ONA_04</t>
  </si>
  <si>
    <t>TC_F3.4</t>
  </si>
  <si>
    <t>Kiểm tra thông báo xác nhận mở thành công</t>
  </si>
  <si>
    <t>Vừa click Open</t>
  </si>
  <si>
    <t>Quan sát ngay sau khi load xong trang xử lý</t>
  </si>
  <si>
    <t>Đọc dòng text màu xanh/đỏ</t>
  </si>
  <si>
    <t>Hiển thị rõ dòng chữ "Account Opened!"</t>
  </si>
  <si>
    <t>TR_ONA_05</t>
  </si>
  <si>
    <t>TC_F3.5</t>
  </si>
  <si>
    <t>Mở tài khoản khi nguồn không đủ tiền</t>
  </si>
  <si>
    <t>From Acc &lt; $100</t>
  </si>
  <si>
    <t>Lỗi: Bug Web: Hệ thống vẫn cho mở tài khoản dù không đủ tiền (Không có thông báo lỗi).</t>
  </si>
  <si>
    <t>Chọn loại tài khoản</t>
  </si>
  <si>
    <t>Chọn From Account đang có số dư (VD: $50)</t>
  </si>
  <si>
    <t>Click Open New Account</t>
  </si>
  <si>
    <t>Hệ thống báo lỗi không đủ tiền tối thiểu</t>
  </si>
  <si>
    <t>TR_ONA_06</t>
  </si>
  <si>
    <t>TC_F3.6</t>
  </si>
  <si>
    <t>Mở TK khi nguồn vừa đúng đủ (Ngưỡng biên)</t>
  </si>
  <si>
    <t>From Acc = $100</t>
  </si>
  <si>
    <t>Chọn From Account có đúng $100</t>
  </si>
  <si>
    <t>Tạo thành công. Số dư From Acc về $0</t>
  </si>
  <si>
    <t>TR_ONA_07</t>
  </si>
  <si>
    <t>TC_F3.7</t>
  </si>
  <si>
    <t>Kiểm tra dropdown Type bị can thiệp (Inspect)</t>
  </si>
  <si>
    <t>Tại trang Open</t>
  </si>
  <si>
    <t>Click chuột phải vào dropdown Type -&gt; Inspect</t>
  </si>
  <si>
    <t>Đổi giá trị "0" (Checking) thành "VIP_ACC" trong thẻ HTML</t>
  </si>
  <si>
    <t>"VIP_ACC"</t>
  </si>
  <si>
    <t>Server báo lỗi Enum không hợp lệ</t>
  </si>
  <si>
    <t>TR_ONA_08</t>
  </si>
  <si>
    <t>TC_F3.8</t>
  </si>
  <si>
    <t>Mở tài khoản liên tục (Rapid Clicks)</t>
  </si>
  <si>
    <t>From Acc &gt; $500</t>
  </si>
  <si>
    <t>Chọn xong loại TK và TK nguồn</t>
  </si>
  <si>
    <t>Nhấp double-click hoặc triple-click thật nhanh vào nút Open</t>
  </si>
  <si>
    <t>Hệ thống chỉ tạo 1 tài khoản, chặn duplicate</t>
  </si>
  <si>
    <t>TR_ONA_09</t>
  </si>
  <si>
    <t>TC_F3.9</t>
  </si>
  <si>
    <t>Chọn From Account là chuỗi rỗng</t>
  </si>
  <si>
    <t>(Giả lập lỗi JS/HTML) Bỏ chọn From Account</t>
  </si>
  <si>
    <t xml:space="preserve">Lỗi:   Không có thông báo lỗi khi From Account rỗng!
  Expected: not &lt;empty&gt;
  But was:  &lt;string.Empty&gt;
</t>
  </si>
  <si>
    <t>Báo lỗi yêu cầu chọn tài khoản trích tiền</t>
  </si>
  <si>
    <t>TR_TRF_01</t>
  </si>
  <si>
    <t>TC_F4.1</t>
  </si>
  <si>
    <t>Chuyển tiền thành công nội bộ</t>
  </si>
  <si>
    <t>Có &gt;= 2 TK</t>
  </si>
  <si>
    <t>Click menu "Transfer Funds"</t>
  </si>
  <si>
    <t>Mở trang chuyển tiền</t>
  </si>
  <si>
    <t>Kết quả: Transfer Complete! - $100.00 has been transferred from account #13344 to account #13455.</t>
  </si>
  <si>
    <t>Tại ô Amount, nhập số tiền hợp lệ</t>
  </si>
  <si>
    <t>Chọn tài khoản nguồn (From) và đích (To)</t>
  </si>
  <si>
    <t>Click "Transfer"</t>
  </si>
  <si>
    <t>Thông báo chuyển khoản thành công</t>
  </si>
  <si>
    <t>TR_TRF_02</t>
  </si>
  <si>
    <t>Chuyển toàn bộ số dư tài khoản</t>
  </si>
  <si>
    <t>Số dư: $100</t>
  </si>
  <si>
    <t>Tại ô Amount, nhập chính xác số dư hiện có</t>
  </si>
  <si>
    <t>Thành công, số dư tài khoản nguồn = 0</t>
  </si>
  <si>
    <t>TR_TRF_03</t>
  </si>
  <si>
    <t>TC_F4.3</t>
  </si>
  <si>
    <t>Lỗi chuyển tiền bằng 0 hoặc số âm</t>
  </si>
  <si>
    <t>Tại trang Transfer</t>
  </si>
  <si>
    <t>Nhập vào ô Amount giá trị 0</t>
  </si>
  <si>
    <t>Chặn thao tác</t>
  </si>
  <si>
    <t>Lỗi: Bug Web: Hệ thống không báo lỗi khi nhập '-50'</t>
  </si>
  <si>
    <t>Xóa số 0, nhập vào giá trị âm (-50)</t>
  </si>
  <si>
    <t>TR_TRF_04</t>
  </si>
  <si>
    <t>TC_F4.4</t>
  </si>
  <si>
    <t>Nhập số tiền ký tự chữ/đặc biệt</t>
  </si>
  <si>
    <t>Nhập chữ cái vào ô Amount</t>
  </si>
  <si>
    <t>abc</t>
  </si>
  <si>
    <t>Hệ thống cảnh báo định dạng</t>
  </si>
  <si>
    <t>Lỗi: Bug Web: Hệ thống không báo lỗi khi nhập 'abc!@#'</t>
  </si>
  <si>
    <t>Nhập ký tự đặc biệt</t>
  </si>
  <si>
    <t>$@!</t>
  </si>
  <si>
    <t>TR_TRF_05</t>
  </si>
  <si>
    <t>TC_F4.5</t>
  </si>
  <si>
    <t>Thông báo hoàn tất giao dịch rõ ràng</t>
  </si>
  <si>
    <t>Vừa chuyển xong</t>
  </si>
  <si>
    <t>Quan sát màn hình kết quả</t>
  </si>
  <si>
    <t>Đọc thông tin Transfer Complete</t>
  </si>
  <si>
    <t>Hiển thị đúng số tiền và 2 mã Account ID liên quan</t>
  </si>
  <si>
    <t>TR_TRF_06</t>
  </si>
  <si>
    <t>TC_F4.6</t>
  </si>
  <si>
    <t>Chuyển số tiền vượt Available Amount</t>
  </si>
  <si>
    <t>Số dư: $50</t>
  </si>
  <si>
    <t>Nhập Amount lớn hơn số dư</t>
  </si>
  <si>
    <t>Lỗi: Bug Web: Hệ thống cho phép chuyển tiền vượt quá số dư (Gây âm tài khoản).</t>
  </si>
  <si>
    <t>Hệ thống chặn và báo lỗi Insufficient funds</t>
  </si>
  <si>
    <t>TR_TRF_07</t>
  </si>
  <si>
    <t>Chuyển tiền với From Acc trùng To Acc</t>
  </si>
  <si>
    <t>Có nhiều TK</t>
  </si>
  <si>
    <t>Chọn dropdown From Account = ID: 12345</t>
  </si>
  <si>
    <t>Lỗi: Bug Web: Hệ thống cho phép chuyển tiền cho chính mình.</t>
  </si>
  <si>
    <t>Chọn dropdown To Account = ID: 12345</t>
  </si>
  <si>
    <t>Báo lỗi không thể chuyển tiền cho chính mình</t>
  </si>
  <si>
    <t>TR_TRF_08</t>
  </si>
  <si>
    <t>Bỏ trống trường Amount</t>
  </si>
  <si>
    <t>Để trống ô Amount</t>
  </si>
  <si>
    <t>Lỗi: Bug Web: Hệ thống không báo lỗi khi nhập ''</t>
  </si>
  <si>
    <t>Focus lỗi yêu cầu điền số tiền</t>
  </si>
  <si>
    <t>TR_TRF_09</t>
  </si>
  <si>
    <t>TC_F4.9</t>
  </si>
  <si>
    <t>Nhập Amount có nhiều hơn 2 chữ số thập phân</t>
  </si>
  <si>
    <t>Nhập số liệu vào ô Amount</t>
  </si>
  <si>
    <t>Báo lỗi định dạng tiền tệ hoặc tự làm tròn</t>
  </si>
  <si>
    <t>TR_TRF_10</t>
  </si>
  <si>
    <t>TC_F4.10</t>
  </si>
  <si>
    <t>Nhập Amount số cực lớn (Long max value)</t>
  </si>
  <si>
    <t>Nhập một dãy số rất dài vào ô Amount</t>
  </si>
  <si>
    <t>Từ chối do vượt hạn mức</t>
  </si>
  <si>
    <t>TR_TRF_11</t>
  </si>
  <si>
    <t>TC_F4.11</t>
  </si>
  <si>
    <t>Thử XSS injection vào ô Amount</t>
  </si>
  <si>
    <t>Dán mã script vào ô Amount</t>
  </si>
  <si>
    <t>&lt;script&gt;alert(1)&lt;/script&gt;</t>
  </si>
  <si>
    <t>Lỗi: Bug Web: Hệ thống không báo lỗi khi nhập '&lt;script&gt;alert(1)&lt;/script&gt;'</t>
  </si>
  <si>
    <t>Mã độc không chạy, báo lỗi định dạng số</t>
  </si>
  <si>
    <t>TR_TRF_12</t>
  </si>
  <si>
    <t>TC_F4.12</t>
  </si>
  <si>
    <t>Giao dịch với tài khoản nguồn lạ (Inspect)</t>
  </si>
  <si>
    <t>Inspect Element</t>
  </si>
  <si>
    <t>F12 sửa Value của option From Account</t>
  </si>
  <si>
    <t>ID: 99999</t>
  </si>
  <si>
    <t>Từ chối quyền truy cập do Acc không thuộc User này</t>
  </si>
  <si>
    <t>TR_TRF_13</t>
  </si>
  <si>
    <t>TC_F4.13</t>
  </si>
  <si>
    <t>Nhập khoảng trắng vào ô Amount</t>
  </si>
  <si>
    <t>Gõ phím Space nhiều lần vào ô Amount</t>
  </si>
  <si>
    <t>" "</t>
  </si>
  <si>
    <t>Báo lỗi require (sau khi trim)</t>
  </si>
  <si>
    <t>TR_TRF_14</t>
  </si>
  <si>
    <t>TC_F4.14</t>
  </si>
  <si>
    <t>Reload trang giữa chừng khi đang chuyển</t>
  </si>
  <si>
    <t>Đã nhập Amount</t>
  </si>
  <si>
    <t>Đang điền form, chưa ấn Transfer</t>
  </si>
  <si>
    <t>Nhấn F5 để tải lại trang</t>
  </si>
  <si>
    <t>Các trường bị reset, không có giao dịch nào được gửi</t>
  </si>
  <si>
    <t>TR_TRF_15</t>
  </si>
  <si>
    <t>TC_F4.15</t>
  </si>
  <si>
    <t>Xác minh lịch sử giao dịch ở cả 2 đầu</t>
  </si>
  <si>
    <t>Sau TC_F4.1</t>
  </si>
  <si>
    <t>Mở trang Account Details của TK nguồn</t>
  </si>
  <si>
    <t>Hiển thị record Debit (-)</t>
  </si>
  <si>
    <t>Mở trang Account Details của TK đích</t>
  </si>
  <si>
    <t>Hiển thị record Credit (+) với cùng số tiền</t>
  </si>
  <si>
    <t>TR_BIL_01</t>
  </si>
  <si>
    <t>Thanh toán hóa đơn thành công</t>
  </si>
  <si>
    <t>Đủ tiền thanh toán</t>
  </si>
  <si>
    <t>Mở menu "Bill Pay"</t>
  </si>
  <si>
    <t>Giao dịch thành công. Lời nhắn: 'Bill Payment to Điện lực EVN in the amount of $50.00 from account 13344 was successful.'</t>
  </si>
  <si>
    <t>Điền đầy đủ thông tin vào Form (Payee, Addr, City, State, Zip, Phone, Acc, Amount)</t>
  </si>
  <si>
    <t>Click "Send Payment"</t>
  </si>
  <si>
    <t>Thanh toán thành công, hiển thị biên lai hoàn tất</t>
  </si>
  <si>
    <t>TR_BIL_02</t>
  </si>
  <si>
    <t>Lỗi khi để trống thông tin người thụ hưởng</t>
  </si>
  <si>
    <t>Tại trang Bill Pay</t>
  </si>
  <si>
    <t>Nhập Amount và chọn tài khoản nguồn</t>
  </si>
  <si>
    <t>Hệ thống báo lỗi bắt buộc điền: Payee name is required. | Address is required.</t>
  </si>
  <si>
    <t>Bỏ trống Payee Name và Address</t>
  </si>
  <si>
    <t>Hệ thống báo lỗi thiếu thông tin bắt buộc</t>
  </si>
  <si>
    <t>TR_BIL_03</t>
  </si>
  <si>
    <t>TC_F5.3</t>
  </si>
  <si>
    <t>Thanh toán thất bại khi số tiền vượt số dư</t>
  </si>
  <si>
    <t>Điền đủ các thông tin Bill Pay</t>
  </si>
  <si>
    <t>Lỗi: Bug Web: Hệ thống cho phép thanh toán vượt quá số dư (Gây âm tài khoản).</t>
  </si>
  <si>
    <t>Tại Amount, nhập số lớn hơn số dư</t>
  </si>
  <si>
    <t>Báo lỗi không đủ tiền</t>
  </si>
  <si>
    <t>TR_BIL_04</t>
  </si>
  <si>
    <t>TC_F5.4</t>
  </si>
  <si>
    <t>Kiểm tra Account và Verify Account khớp nhau</t>
  </si>
  <si>
    <t>Nhập vào trường Account #</t>
  </si>
  <si>
    <t>Nhập giống hệt vào trường Verify Account #</t>
  </si>
  <si>
    <t>Cho phép gửi lệnh thanh toán</t>
  </si>
  <si>
    <t>TR_BIL_05</t>
  </si>
  <si>
    <t>TC_F5.5</t>
  </si>
  <si>
    <t>Lỗi khi Verify Account KHÔNG khớp Account</t>
  </si>
  <si>
    <t>Hệ thống báo lỗi Mismatch chuẩn: The account numbers do not match.</t>
  </si>
  <si>
    <t>Nhập khác đi vào trường Verify Account #</t>
  </si>
  <si>
    <t>Báo lỗi Mismatch</t>
  </si>
  <si>
    <t>TR_BIL_06</t>
  </si>
  <si>
    <t>TC_F5.6</t>
  </si>
  <si>
    <t>Nhập Zip Code dạng chữ</t>
  </si>
  <si>
    <t>Tại ô Zip Code, nhập chữ cái</t>
  </si>
  <si>
    <t>HCM</t>
  </si>
  <si>
    <t>Cảnh báo yêu cầu nhập định dạng số</t>
  </si>
  <si>
    <t>TR_BIL_07</t>
  </si>
  <si>
    <t>TC_F5.7</t>
  </si>
  <si>
    <t>Nhập số âm vào Amount</t>
  </si>
  <si>
    <t>Tại ô Amount, nhập số âm</t>
  </si>
  <si>
    <t>Lỗi: Bug Web: Hệ thống cho phép thanh toán số tiền ÂM.</t>
  </si>
  <si>
    <t>Báo lỗi số tiền không hợp lệ</t>
  </si>
  <si>
    <t>TR_FND_01</t>
  </si>
  <si>
    <t>TC_F6.1</t>
  </si>
  <si>
    <t>Tìm kiếm giao dịch theo Transaction ID tồn tại</t>
  </si>
  <si>
    <t>Có lịch sử GD</t>
  </si>
  <si>
    <t>Click menu "Find Transactions"</t>
  </si>
  <si>
    <t>Lỗi: OpenQA.Selenium.NoSuchElementException : no such element: Unable to locate element: {"method":"css selector","selector":"#accountId"}
  (Session info: chrome=146.0.7680.154); For documentation on this error, please visit: https://www.selenium.dev/documentation/webdriver/troubleshooting/errors#nosuchelementexception</t>
  </si>
  <si>
    <t>Chọn Account cần tìm</t>
  </si>
  <si>
    <t>Nhập ID giao dịch có thực vào ô Find by ID</t>
  </si>
  <si>
    <t>ID = 12345</t>
  </si>
  <si>
    <t>Click "Find Transactions"</t>
  </si>
  <si>
    <t>Trả về 1 dòng chi tiết giao dịch duy nhất</t>
  </si>
  <si>
    <t>TR_FND_02</t>
  </si>
  <si>
    <t>TC_F6.2</t>
  </si>
  <si>
    <t>Tìm kiếm giao dịch theo Ngày chính xác</t>
  </si>
  <si>
    <t>Tại mục Find by Date, nhập ngày</t>
  </si>
  <si>
    <t xml:space="preserve">Lỗi:   Không tìm thấy giao dịch nào trong ngày này.
  Expected: greater than or equal to 1
  But was:  0
</t>
  </si>
  <si>
    <t>Click nút Find tương ứng</t>
  </si>
  <si>
    <t>Trả về  sách các giao dịch trong ngày đó</t>
  </si>
  <si>
    <t>TR_FND_03</t>
  </si>
  <si>
    <t>TC_F6.3</t>
  </si>
  <si>
    <t>Tìm kiếm giao dịch theo Khoảng giá trị (Amount)</t>
  </si>
  <si>
    <t>Tại mục Find by Amount, nhập số tiền</t>
  </si>
  <si>
    <t xml:space="preserve">Lỗi:   Không tìm thấy giao dịch với Amount này.
  Expected: greater than or equal to 1
  But was:  0
</t>
  </si>
  <si>
    <t>Trả về list giao dịch có giá trị đó</t>
  </si>
  <si>
    <t>TR_FND_04</t>
  </si>
  <si>
    <t>TC_F6.4</t>
  </si>
  <si>
    <t>Thông báo không tìm thấy giao dịch phù hợp</t>
  </si>
  <si>
    <t>Tại trang Find</t>
  </si>
  <si>
    <t>Nhập vào ô ID hoặc Date một dữ liệu ảo</t>
  </si>
  <si>
    <t>Lỗi: Bug: Hệ thống không hiển thị thông báo lỗi khi không tìm thấy giao dịch.</t>
  </si>
  <si>
    <t>Click Find</t>
  </si>
  <si>
    <t>Thông báo rõ ràng "No transactions found"</t>
  </si>
  <si>
    <t>TR_FND_05</t>
  </si>
  <si>
    <t>TC_F6.5</t>
  </si>
  <si>
    <t>Tìm kiếm ID với ký tự đặc biệt / chữ cái</t>
  </si>
  <si>
    <t>Nhập vào ô ID chuỗi ký tự lạ</t>
  </si>
  <si>
    <t>ID@123</t>
  </si>
  <si>
    <t>Báo lỗi Validation</t>
  </si>
  <si>
    <t>TR_FND_06</t>
  </si>
  <si>
    <t>TC_F6.6</t>
  </si>
  <si>
    <t>Nhập sai định dạng Ngày (VD: DD-MM-YYYY)</t>
  </si>
  <si>
    <t>Nhập ngày theo định dạng Việt Nam</t>
  </si>
  <si>
    <t>31-12-2023</t>
  </si>
  <si>
    <t xml:space="preserve">Lỗi:   Lỗi Bug: Hệ thống không báo lỗi khi nhập sai định dạng ngày (MM-dd-yyyy).
  Expected: not &lt;empty&gt;
  But was:  &lt;string.Empty&gt;
</t>
  </si>
  <si>
    <t>Lỗi yêu cầu định dạng chuẩn MM-DD-YYYY</t>
  </si>
  <si>
    <t>TR_FND_07</t>
  </si>
  <si>
    <t>TC_F6.7</t>
  </si>
  <si>
    <t>Tìm kiếm ngày tương lai (Future date)</t>
  </si>
  <si>
    <t>Nhập ngày của năm sau</t>
  </si>
  <si>
    <t>Trả về kết quả trống (Không có giao dịch)</t>
  </si>
  <si>
    <t>TR_FND_08</t>
  </si>
  <si>
    <t>TC_F6.8</t>
  </si>
  <si>
    <t>Tìm Date Range hợp lệ (Khoảng thời gian)</t>
  </si>
  <si>
    <t>Tại Find by Date Range, nhập Between</t>
  </si>
  <si>
    <t>Nhập "and" (Ngày lớn hơn ngày Between)</t>
  </si>
  <si>
    <t>Trả về dữ liệu thỏa mãn khoảng thời gian</t>
  </si>
  <si>
    <t>TR_FND_09</t>
  </si>
  <si>
    <t>TC_F6.9</t>
  </si>
  <si>
    <t>Tìm Date Range không hợp lệ (Bắt đầu &gt; Kết thúc)</t>
  </si>
  <si>
    <t>Nhập Between là ngày hiện tại</t>
  </si>
  <si>
    <t>Today</t>
  </si>
  <si>
    <t>Nhập "and" là ngày tháng trước</t>
  </si>
  <si>
    <t>Last month</t>
  </si>
  <si>
    <t>Báo lỗi Logic thời gian bị đảo ngược</t>
  </si>
  <si>
    <t>TR_FND_10</t>
  </si>
  <si>
    <t>TC_F6.10</t>
  </si>
  <si>
    <t>Tìm Date Range rỗng 1 đầu (Chỉ nhập Between)</t>
  </si>
  <si>
    <t>Điền ngày vào ô Between</t>
  </si>
  <si>
    <t>Bỏ trống ô "and"</t>
  </si>
  <si>
    <t>Báo lỗi thiếu dữ kiện chốt khoảng</t>
  </si>
  <si>
    <t>TR_FND_11</t>
  </si>
  <si>
    <t>TC_F6.11</t>
  </si>
  <si>
    <t>Tìm theo số tiền là số âm</t>
  </si>
  <si>
    <t>Nhập Amount là số âm</t>
  </si>
  <si>
    <t>Trả về các giao dịch bị trừ tiền (nếu hệ thống hỗ trợ query âm)</t>
  </si>
  <si>
    <t>TR_FND_12</t>
  </si>
  <si>
    <t>TC_F6.12</t>
  </si>
  <si>
    <t>Submit form khi tất cả các ô đều trống</t>
  </si>
  <si>
    <t>Không nhập liệu vào bất kỳ ô nào</t>
  </si>
  <si>
    <t>Click một nút Find bất kỳ</t>
  </si>
  <si>
    <t>Hệ thống yêu cầu điền tham số lọc</t>
  </si>
  <si>
    <t>TR_FND_13</t>
  </si>
  <si>
    <t>TC_F6.13</t>
  </si>
  <si>
    <t>Tìm kiếm ID kèm khoảng trắng</t>
  </si>
  <si>
    <t>Nhập ID nhưng ấn thêm Space ở 2 đầu</t>
  </si>
  <si>
    <t>" 12345 "</t>
  </si>
  <si>
    <t>Hệ thống tự động Trim() và tìm ra GD</t>
  </si>
  <si>
    <t>TR_FND_14</t>
  </si>
  <si>
    <t>TC_F6.14</t>
  </si>
  <si>
    <t>SQL Injection thử vào ô Date Range</t>
  </si>
  <si>
    <t>Nhập chuỗi SQL Injection cơ bản vào ô Date</t>
  </si>
  <si>
    <t>OR 1=1 --</t>
  </si>
  <si>
    <t>Bị chặn, không lộ database</t>
  </si>
  <si>
    <t>TR_ADM_01</t>
  </si>
  <si>
    <t>TC_F7.1</t>
  </si>
  <si>
    <t>Khởi tạo lại CSDL (Initialize)</t>
  </si>
  <si>
    <t>Quyền Admin</t>
  </si>
  <si>
    <t>Truy cập trang Admin</t>
  </si>
  <si>
    <t>Database Initialized</t>
  </si>
  <si>
    <t>Phú</t>
  </si>
  <si>
    <t>Tại khung Database, click nút "INITIALIZE"</t>
  </si>
  <si>
    <t>Xác nhận hành động (nếu có alert)</t>
  </si>
  <si>
    <t>Database được khôi phục, báo "Database Initialized"</t>
  </si>
  <si>
    <t>TR_ADM_02</t>
  </si>
  <si>
    <t>TC_F7.2</t>
  </si>
  <si>
    <t>Xóa sạch CSDL (Clean)</t>
  </si>
  <si>
    <t>Mở trang Admin</t>
  </si>
  <si>
    <t>Database Cleaned</t>
  </si>
  <si>
    <t>Tại khung Database, click nút "CLEAN"</t>
  </si>
  <si>
    <t>Toàn bộ dữ liệu user (trừ Admin) bị xóa trắng</t>
  </si>
  <si>
    <t>TR_ADM_03</t>
  </si>
  <si>
    <t>TC_F7.3</t>
  </si>
  <si>
    <t>Kiểm tra trạng thái JMS Service (Running)</t>
  </si>
  <si>
    <t>Xem text bên cạnh chữ Status trong khung JMS Service</t>
  </si>
  <si>
    <t>Hiển thị chữ "Running"</t>
  </si>
  <si>
    <t>TR_ADM_04</t>
  </si>
  <si>
    <t>TC_F7.4</t>
  </si>
  <si>
    <t>Shut down JMS Service</t>
  </si>
  <si>
    <t>Service Running</t>
  </si>
  <si>
    <t>Tại khung JMS Service, click nút "SHUTDOWN"</t>
  </si>
  <si>
    <t>Đợi tải lại trang</t>
  </si>
  <si>
    <t>Status chuyển thành Stopped/Offline</t>
  </si>
  <si>
    <t>TR_ADM_05</t>
  </si>
  <si>
    <t>TC_F7.5</t>
  </si>
  <si>
    <t>Đổi Data Access Mode sang SOAP</t>
  </si>
  <si>
    <t>Mode: JDBC</t>
  </si>
  <si>
    <t>Click radio button "SOAP"</t>
  </si>
  <si>
    <t>SOAP</t>
  </si>
  <si>
    <t>Switched SOAP</t>
  </si>
  <si>
    <t>Cuộn xuống cuối trang, click Submit</t>
  </si>
  <si>
    <t>Thực hiện 1 giao dịch mẫu</t>
  </si>
  <si>
    <t>Hệ thống Call API theo chuẩn SOAP</t>
  </si>
  <si>
    <t>TR_ADM_06</t>
  </si>
  <si>
    <t>TC_F7.6</t>
  </si>
  <si>
    <t>Đổi Data Access Mode sang REST (XML)</t>
  </si>
  <si>
    <t>Mode: SOAP</t>
  </si>
  <si>
    <t>Click radio button "REST (XML)"</t>
  </si>
  <si>
    <t>XML</t>
  </si>
  <si>
    <t>Click Submit</t>
  </si>
  <si>
    <t>API trả về response định dạng XML</t>
  </si>
  <si>
    <t>TR_ADM_07</t>
  </si>
  <si>
    <t>TC_F7.7</t>
  </si>
  <si>
    <t>Đổi Data Access Mode sang REST (JSON)</t>
  </si>
  <si>
    <t>Click radio button "REST (JSON)"</t>
  </si>
  <si>
    <t>JSON</t>
  </si>
  <si>
    <t>API trả về response định dạng JSON</t>
  </si>
  <si>
    <t>TR_ADM_08</t>
  </si>
  <si>
    <t>TC_F7.8</t>
  </si>
  <si>
    <t>Đổi Data Access Mode sang JDBC (Default)</t>
  </si>
  <si>
    <t>Mode: JSON</t>
  </si>
  <si>
    <t>Click radio button "JDBC*"</t>
  </si>
  <si>
    <t>JDBC</t>
  </si>
  <si>
    <t>Switched JDBC</t>
  </si>
  <si>
    <t>Hệ thống dùng truy vấn trực tiếp DB</t>
  </si>
  <si>
    <t>TR_ADM_09</t>
  </si>
  <si>
    <t>TC_F7.9</t>
  </si>
  <si>
    <t>Cập nhật SOAP Endpoint với URL hợp lệ</t>
  </si>
  <si>
    <t>Tại khung Web Service, mục SOAP Endpoint</t>
  </si>
  <si>
    <t>Nhập URL hợp lệ</t>
  </si>
  <si>
    <t>http://api.test</t>
  </si>
  <si>
    <t>Cập nhật thành công</t>
  </si>
  <si>
    <t>TR_ADM_10</t>
  </si>
  <si>
    <t>TC_F7.10</t>
  </si>
  <si>
    <t>Cập nhật SOAP Endpoint sai định dạng protocol</t>
  </si>
  <si>
    <t>Nhập URL thiếu http://</t>
  </si>
  <si>
    <t>www.abc.com</t>
  </si>
  <si>
    <t>Hệ thống báo lỗi hoặc tự thêm tiền tố</t>
  </si>
  <si>
    <t>TR_ADM_11</t>
  </si>
  <si>
    <t>TC_F7.11</t>
  </si>
  <si>
    <t>Bỏ trống SOAP Endpoint (Dùng default)</t>
  </si>
  <si>
    <t>Xóa URL cũ trong ô SOAP Endpoint</t>
  </si>
  <si>
    <t>Hệ thống dùng endpoint mặc định của code</t>
  </si>
  <si>
    <t>TR_ADM_12</t>
  </si>
  <si>
    <t>TC_F7.12</t>
  </si>
  <si>
    <t>Cập nhật REST Endpoint URL hợp lệ</t>
  </si>
  <si>
    <t>Nhập URL có thật vào ô REST Endpoint</t>
  </si>
  <si>
    <t>https://api.test</t>
  </si>
  <si>
    <t>TR_ADM_13</t>
  </si>
  <si>
    <t>TC_F7.13</t>
  </si>
  <si>
    <t>Cập nhật REST Endpoint chứa ký tự đặc biệt</t>
  </si>
  <si>
    <t>Nhập chuỗi có chứa khoảng trắng/ký tự lạ</t>
  </si>
  <si>
    <t>url @.com</t>
  </si>
  <si>
    <t>Báo lỗi Format URL không hợp lệ</t>
  </si>
  <si>
    <t>TR_ADM_14</t>
  </si>
  <si>
    <t>TC_F7.14</t>
  </si>
  <si>
    <t>Bỏ trống REST Endpoint</t>
  </si>
  <si>
    <t>Xóa trắng nội dung REST Endpoint</t>
  </si>
  <si>
    <t>Về lại endpoint mặc định</t>
  </si>
  <si>
    <t>TR_ADM_15</t>
  </si>
  <si>
    <t>Cập nhật LoanProcessor Endpoint hợp lệ</t>
  </si>
  <si>
    <t>Nhập URL vào mục LoanProcessor Service Endpoint</t>
  </si>
  <si>
    <t>http://loan.test</t>
  </si>
  <si>
    <t>TR_ADM_16</t>
  </si>
  <si>
    <t>TC_F7.16</t>
  </si>
  <si>
    <t>Kiểm tra WSDL link của ParaBank Service</t>
  </si>
  <si>
    <t>Tại Web Service</t>
  </si>
  <si>
    <t>Click vào dòng chữ màu xanh [ WSDL ] cạnh ParaBank Service</t>
  </si>
  <si>
    <t>Mở ra trang XML/WSDL tài liệu API</t>
  </si>
  <si>
    <t>TR_ADM_17</t>
  </si>
  <si>
    <t>TC_F7.17</t>
  </si>
  <si>
    <t>Kiểm tra WADL link của ParaBank Service</t>
  </si>
  <si>
    <t>Click vào dòng chữ màu xanh [ WADL ]</t>
  </si>
  <si>
    <t>Mở ra trang mô tả RESTful API</t>
  </si>
  <si>
    <t>TR_ADM_18</t>
  </si>
  <si>
    <t>TC_F7.18</t>
  </si>
  <si>
    <t>Kiểm tra OpenAPI link</t>
  </si>
  <si>
    <t>Click vào dòng chữ màu xanh [ OpenAPI ]</t>
  </si>
  <si>
    <t>Mở ra trang Swagger/Docs</t>
  </si>
  <si>
    <t>TR_ADM_19</t>
  </si>
  <si>
    <t>TC_F7.19</t>
  </si>
  <si>
    <t>Kiểm tra WSDL link của LoanProcessor Service</t>
  </si>
  <si>
    <t>Cuộn xuống LoanProcessor Service</t>
  </si>
  <si>
    <t>Click vào link [ WSDL ] tương ứng</t>
  </si>
  <si>
    <t>Mở tài liệu WSDL của dịch vụ Vay</t>
  </si>
  <si>
    <t>TR_ADM_20</t>
  </si>
  <si>
    <t>TC_F7.20</t>
  </si>
  <si>
    <t>Đặt Init. Balance là số dương nguyên</t>
  </si>
  <si>
    <t>App Settings</t>
  </si>
  <si>
    <t>Nhập vào ô Init. Balance</t>
  </si>
  <si>
    <t>Balance = 500</t>
  </si>
  <si>
    <t>TK mở mới sẽ có sẵn $500</t>
  </si>
  <si>
    <t>TR_ADM_21</t>
  </si>
  <si>
    <t>TC_F7.21</t>
  </si>
  <si>
    <t>Đặt Init. Balance là số thập phân</t>
  </si>
  <si>
    <t>Nhập số liệu thập phân</t>
  </si>
  <si>
    <t>Equivalence Partitioning</t>
  </si>
  <si>
    <t>Chấp nhận giá trị thập phân này</t>
  </si>
  <si>
    <t>TR_ADM_22</t>
  </si>
  <si>
    <t>TC_F7.22</t>
  </si>
  <si>
    <t>Đặt Init. Balance bằng 0 (Zero Boundary)</t>
  </si>
  <si>
    <t>Nhập giá trị 0</t>
  </si>
  <si>
    <t>Balance = 0</t>
  </si>
  <si>
    <t>Boundary test</t>
  </si>
  <si>
    <t>Lưu thành công. Mở TK mới sẽ có $0</t>
  </si>
  <si>
    <t>TR_ADM_23</t>
  </si>
  <si>
    <t>TC_F7.23</t>
  </si>
  <si>
    <t>Đặt Init. Balance là số âm</t>
  </si>
  <si>
    <t>Nhập số âm</t>
  </si>
  <si>
    <t>Settings saved successfully.</t>
  </si>
  <si>
    <t>Báo lỗi không cho thiết lập âm</t>
  </si>
  <si>
    <t>TR_ADM_24</t>
  </si>
  <si>
    <t>TC_F7.24</t>
  </si>
  <si>
    <t>Đặt Init. Balance chứa ký tự chữ cái</t>
  </si>
  <si>
    <t>Nhập ký tự chữ</t>
  </si>
  <si>
    <t>Báo lỗi Input Format (Only numeric)</t>
  </si>
  <si>
    <t>TR_ADM_25</t>
  </si>
  <si>
    <t>TC_F7.25</t>
  </si>
  <si>
    <t>Đặt Min. Balance số hợp lệ</t>
  </si>
  <si>
    <t>Nhập vào ô Min. Balance</t>
  </si>
  <si>
    <t>Lưu thành công ngưỡng $100</t>
  </si>
  <si>
    <t>TR_ADM_26</t>
  </si>
  <si>
    <t>TC_F7.26</t>
  </si>
  <si>
    <t>Đặt Min. Balance lớn hơn Init. Balance</t>
  </si>
  <si>
    <t>Nhập Min. Balance = 500</t>
  </si>
  <si>
    <t>Error Guessing</t>
  </si>
  <si>
    <t>Nhập Init. Balance = 100</t>
  </si>
  <si>
    <t>Cảnh báo mâu thuẫn (Conflict logic)</t>
  </si>
  <si>
    <t>TR_ADM_27</t>
  </si>
  <si>
    <t>TC_F7.27</t>
  </si>
  <si>
    <t>Đặt Min. Balance số âm</t>
  </si>
  <si>
    <t>Nhập Min. Balance là số âm</t>
  </si>
  <si>
    <t>Chặn lưu, báo lỗi</t>
  </si>
  <si>
    <t>TR_ADM_28</t>
  </si>
  <si>
    <t>TC_F7.28</t>
  </si>
  <si>
    <t>Thay đổi Loan Provider sang Web Service</t>
  </si>
  <si>
    <t>Tại dropdown Loan Provider, chọn Web Service</t>
  </si>
  <si>
    <t>Web Service</t>
  </si>
  <si>
    <t>Hệ thống duyệt vay thông qua Service</t>
  </si>
  <si>
    <t>TR_ADM_29</t>
  </si>
  <si>
    <t>TC_F7.29</t>
  </si>
  <si>
    <t>Thay đổi Loan Provider sang JMS</t>
  </si>
  <si>
    <t>Tại dropdown Loan Provider, chọn JMS</t>
  </si>
  <si>
    <t>JMS</t>
  </si>
  <si>
    <t>Lưu cấu hình JMS thành công</t>
  </si>
  <si>
    <t>TR_ADM_30</t>
  </si>
  <si>
    <t>TC_F7.30</t>
  </si>
  <si>
    <t>Thay đổi Loan Provider sang Local</t>
  </si>
  <si>
    <t>Tại dropdown Loan Provider, chọn Local</t>
  </si>
  <si>
    <t>Local</t>
  </si>
  <si>
    <t>Xử lý yêu cầu vay bằng logic Local</t>
  </si>
  <si>
    <t>TR_ADM_31</t>
  </si>
  <si>
    <t>TC_F7.31</t>
  </si>
  <si>
    <t>Thay đổi Loan Processor: Available Funds</t>
  </si>
  <si>
    <t>Tại dropdown Loan Processor, chọn Available Funds</t>
  </si>
  <si>
    <t>Available Funds</t>
  </si>
  <si>
    <t>Xét khoản vay dựa vào số dư</t>
  </si>
  <si>
    <t>TR_ADM_32</t>
  </si>
  <si>
    <t>TC_F7.32</t>
  </si>
  <si>
    <t>Thay đổi Loan Processor: Down Payment</t>
  </si>
  <si>
    <t>Chọn Down Payment</t>
  </si>
  <si>
    <t>Down Payment</t>
  </si>
  <si>
    <t>Xét khoản vay dựa vào tỷ lệ trả trước</t>
  </si>
  <si>
    <t>TR_ADM_33</t>
  </si>
  <si>
    <t>TC_F7.33</t>
  </si>
  <si>
    <t>Thay đổi Loan Processor: Combined</t>
  </si>
  <si>
    <t>Chọn Combined</t>
  </si>
  <si>
    <t>Combined</t>
  </si>
  <si>
    <t>Xét duyệt dựa trên cả 2 yếu tố</t>
  </si>
  <si>
    <t>TR_ADM_34</t>
  </si>
  <si>
    <t>TC_F7.34</t>
  </si>
  <si>
    <t>Thiết lập Threshold ở mức 0% (Min boundary)</t>
  </si>
  <si>
    <t>Nhập vào ô Threshold giá trị 0</t>
  </si>
  <si>
    <t>Threshold 0</t>
  </si>
  <si>
    <t>Boundary Value Analysis</t>
  </si>
  <si>
    <t>Chấp nhận mốc 0%</t>
  </si>
  <si>
    <t>TR_ADM_35</t>
  </si>
  <si>
    <t>TC_F7.35</t>
  </si>
  <si>
    <t>Thiết lập Threshold ở mức 100% (Max boundary)</t>
  </si>
  <si>
    <t>Nhập giá trị 100</t>
  </si>
  <si>
    <t>Threshold 100</t>
  </si>
  <si>
    <t>BVA</t>
  </si>
  <si>
    <t>Chấp nhận mốc 100%</t>
  </si>
  <si>
    <t>TR_ADM_36</t>
  </si>
  <si>
    <t>TC_F7.36</t>
  </si>
  <si>
    <t>Thiết lập Threshold ở mức 50% (Normal EP)</t>
  </si>
  <si>
    <t>Nhập giá trị 50</t>
  </si>
  <si>
    <t>Lưu cấu hình thành công</t>
  </si>
  <si>
    <t>TR_ADM_37</t>
  </si>
  <si>
    <t>TC_F7.37</t>
  </si>
  <si>
    <t>Thiết lập Threshold vượt 100%</t>
  </si>
  <si>
    <t>Nhập giá trị lớn hơn 100</t>
  </si>
  <si>
    <t>Báo lỗi phần trăm (% ) chỉ từ 0-100</t>
  </si>
  <si>
    <t>TR_ADM_38</t>
  </si>
  <si>
    <t>TC_F7.38</t>
  </si>
  <si>
    <t>Thiết lập Threshold là số âm</t>
  </si>
  <si>
    <t>Nhập giá trị âm</t>
  </si>
  <si>
    <t>Báo lỗi số lượng không hợp lệ</t>
  </si>
  <si>
    <t>TR_ADM_39</t>
  </si>
  <si>
    <t>TC_F7.39</t>
  </si>
  <si>
    <t>Nhập ký tự thập phân cho Threshold</t>
  </si>
  <si>
    <t>Nhập số thập phân</t>
  </si>
  <si>
    <t>Phản hồi tùy logic (Lưu hoặc yêu cầu int)</t>
  </si>
  <si>
    <t>TR_ADM_40</t>
  </si>
  <si>
    <t>TC_F7.40</t>
  </si>
  <si>
    <t>Nhập ký tự đặc biệt cho Threshold</t>
  </si>
  <si>
    <t>#$%</t>
  </si>
  <si>
    <t>Cảnh báo yêu cầu nhập số</t>
  </si>
  <si>
    <t>TR_ADM_41</t>
  </si>
  <si>
    <t>TC_F7.41</t>
  </si>
  <si>
    <t>Submit form cấu hình không thay đổi gì</t>
  </si>
  <si>
    <t>Mở trang Admin lên</t>
  </si>
  <si>
    <t>Không sửa đổi bất kỳ ô nào, cuộn xuống ấn Submit</t>
  </si>
  <si>
    <t>Cập nhật thành công (Không có khác biệt)</t>
  </si>
  <si>
    <t>TR_ADM_42</t>
  </si>
  <si>
    <t>TC_F7.42</t>
  </si>
  <si>
    <t>Nhập dữ liệu quá khổ (Max length) cho Init Balance</t>
  </si>
  <si>
    <t>Gõ một dãy số cực dài</t>
  </si>
  <si>
    <t>999999...</t>
  </si>
  <si>
    <t>Cảnh báo lỗi Overflow CSDL</t>
  </si>
  <si>
    <t>TR_ADM_43</t>
  </si>
  <si>
    <t>TC_F7.43</t>
  </si>
  <si>
    <t>Phân quyền truy cập trang Admin</t>
  </si>
  <si>
    <t>Đăng nhập User</t>
  </si>
  <si>
    <t>Đăng nhập bằng tài khoản Customer thông thường</t>
  </si>
  <si>
    <t>Khách hàng</t>
  </si>
  <si>
    <t>Gõ url parabank/admin.htm lên trình duyệt</t>
  </si>
  <si>
    <t>url /admin.htm</t>
  </si>
  <si>
    <t>Hệ thống redirect hoặc chặn (Access Denied)</t>
  </si>
  <si>
    <t>TR_ADM_44</t>
  </si>
  <si>
    <t>TC_F7.44</t>
  </si>
  <si>
    <t>Kiểm tra SQLi trên form Setting</t>
  </si>
  <si>
    <t>Nhập payload SQLi vào bất kỳ ô input nào</t>
  </si>
  <si>
    <t>1' OR '1'='1</t>
  </si>
  <si>
    <t>Payload bị reject, ngăn chặn Injection</t>
  </si>
  <si>
    <t>TR_ADM_45</t>
  </si>
  <si>
    <t>TC_F7.45</t>
  </si>
  <si>
    <t>Load lại trang Admin sau khi đã lưu cấu hình mới</t>
  </si>
  <si>
    <t>Lưu thành công</t>
  </si>
  <si>
    <t>Thực hiện đổi cấu hình và ấn Submit</t>
  </si>
  <si>
    <t>Nhấn F5 (Refresh) trình duyệt</t>
  </si>
  <si>
    <t>Các thông số mới vẫn được giữ nguyên</t>
  </si>
  <si>
    <t>TR_ADM_46</t>
  </si>
  <si>
    <t>TC_F7.46</t>
  </si>
  <si>
    <t>Click Submit liên tục (Stress/Rapid click)</t>
  </si>
  <si>
    <t>Đổi Threshold</t>
  </si>
  <si>
    <t>Sửa Threshold thành số mới</t>
  </si>
  <si>
    <t>Double click / Triple click thật nhanh vào nút Submit</t>
  </si>
  <si>
    <t>Server chỉ nhận 1 Request Update, không crash</t>
  </si>
  <si>
    <t>TR_UPD_01</t>
  </si>
  <si>
    <t>TC_F8.1</t>
  </si>
  <si>
    <t>Cập nhật thành công điện thoại và địa chỉ mới</t>
  </si>
  <si>
    <t>Có thông tin cũ</t>
  </si>
  <si>
    <t>Click menu "Update Contact Info"</t>
  </si>
  <si>
    <t>Xóa dữ liệu cũ ở ô Phone và Address</t>
  </si>
  <si>
    <t>Điền Phone và Address mới</t>
  </si>
  <si>
    <t>Info mới</t>
  </si>
  <si>
    <t>Click "Update Profile"</t>
  </si>
  <si>
    <t>Thông báo Profile Updated</t>
  </si>
  <si>
    <t>TR_UPD_02</t>
  </si>
  <si>
    <t>TC_F8.2</t>
  </si>
  <si>
    <t>Dữ liệu được lưu lại thật sự sau khi Update</t>
  </si>
  <si>
    <t>Sau TC_F8.1</t>
  </si>
  <si>
    <t>Chuyển sang tính năng khác (VD: Accounts Overview)</t>
  </si>
  <si>
    <t>Quay lại trang Update Contact Info</t>
  </si>
  <si>
    <t>Dữ liệu hiển thị đúng như vừa được sửa</t>
  </si>
  <si>
    <t>TR_UPD_03</t>
  </si>
  <si>
    <t>TC_F8.3</t>
  </si>
  <si>
    <t>Lỗi khi xóa sạch các trường bắt buộc rồi nhấn</t>
  </si>
  <si>
    <t>Tại form Update</t>
  </si>
  <si>
    <t>Xóa hết dữ liệu (First Name, Last Name...)</t>
  </si>
  <si>
    <t>Hiển thị thông báo Required Fields kế bên ô trống</t>
  </si>
  <si>
    <t>TR_UPD_04</t>
  </si>
  <si>
    <t>TC_F8.4</t>
  </si>
  <si>
    <t>Cập nhật Zip Code bằng chữ cái</t>
  </si>
  <si>
    <t>Nhập vào ô Zip Code chữ cái</t>
  </si>
  <si>
    <t>ABC</t>
  </si>
  <si>
    <t>Báo lỗi định dạng Zip Code</t>
  </si>
  <si>
    <t>TR_UPD_05</t>
  </si>
  <si>
    <t>TC_F8.5</t>
  </si>
  <si>
    <t>Limit testing cho trường Address</t>
  </si>
  <si>
    <t>Dán một đoạn văn bản dài hàng trăm ký tự vào Address</t>
  </si>
  <si>
    <t>Chuỗi 300 char</t>
  </si>
  <si>
    <t>Dữ liệu bị cắt gọt bớt hoặc báo lỗi vượt Max Length</t>
  </si>
  <si>
    <t>TR_RLO_01</t>
  </si>
  <si>
    <t>TC_F9.1</t>
  </si>
  <si>
    <t>Yêu cầu vay với số tiền nhỏ, cọc cao (Từ chối)</t>
  </si>
  <si>
    <t>Tại Request Loan</t>
  </si>
  <si>
    <t>Mở form Request Loan</t>
  </si>
  <si>
    <t>Loan Request Processed
Loan Provider: Wealth Securities Dynamic Loans (WSDL)
Date: 03-25-2026
Status: Denied
You do not have sufficient funds for the given down payment.</t>
  </si>
  <si>
    <t>You do not have sufficient funds...</t>
  </si>
  <si>
    <t>Nhập Loan Amount</t>
  </si>
  <si>
    <t>Nhập Down Payment lớn hơn số dư của tài khoản nguồn</t>
  </si>
  <si>
    <t>Click "Apply Now"</t>
  </si>
  <si>
    <t>Hệ thống từ chối do không đủ tiền trả cọc</t>
  </si>
  <si>
    <t>TR_RLO_02</t>
  </si>
  <si>
    <t>TC_F9.2</t>
  </si>
  <si>
    <t>Yêu cầu vay bị từ chối do số tiền vay quá lớn</t>
  </si>
  <si>
    <t>Nhập số tiền vay lớn bất thường</t>
  </si>
  <si>
    <t>Loan Request Processed
Loan Provider: Wealth Securities Dynamic Loans (WSDL)
Date: 03-25-2026
Status: Denied
We cannot grant a loan in that amount with your available funds.</t>
  </si>
  <si>
    <t>We cannot grant a loan in that amount</t>
  </si>
  <si>
    <t>Hệ thống từ chối duyệt khoản vay này</t>
  </si>
  <si>
    <t>TR_RLO_03</t>
  </si>
  <si>
    <t>Kiểm tra tài khoản nhận tiền vay</t>
  </si>
  <si>
    <t>Vay được duyệt</t>
  </si>
  <si>
    <t>Apply khoản vay hợp lệ và được duyệt thành công</t>
  </si>
  <si>
    <t>Pass</t>
  </si>
  <si>
    <t>Lấy số New Account ID ở màn hình kết quả</t>
  </si>
  <si>
    <t>Click vào số đó để xem chi tiết</t>
  </si>
  <si>
    <t>Thấy khoản tiền vay đã được cộng vào Balance</t>
  </si>
  <si>
    <t>TR_RLO_04</t>
  </si>
  <si>
    <t>TC_F9.4</t>
  </si>
  <si>
    <t>Cố ý nhập Down Payment là số âm</t>
  </si>
  <si>
    <t>Nhập vào ô Down Payment một số âm</t>
  </si>
  <si>
    <t>Loan Request Processed
Loan Provider: Wealth Securities Dynamic Loans (WSDL)
Date: 03-25-2026
Status: Approved
Congratulations, your loan has been approved.
Your new account number: 13566</t>
  </si>
  <si>
    <t>Báo lỗi giá trị số tiền không hợp lệ</t>
  </si>
  <si>
    <t>TR_RLO_05</t>
  </si>
  <si>
    <t>TC_F9.5</t>
  </si>
  <si>
    <t>Cố ý bỏ trống ô Loan Amount</t>
  </si>
  <si>
    <t>Bỏ trống hoàn toàn ô Loan Amount</t>
  </si>
  <si>
    <t>Error!
An internal error has occurred and has been logged.</t>
  </si>
  <si>
    <t>Focus báo lỗi vào ô bị trống</t>
  </si>
  <si>
    <t>TR_GUI_01</t>
  </si>
  <si>
    <t>TC_F10.1</t>
  </si>
  <si>
    <t>Các menu bên trái điều hướng đến đúng trang</t>
  </si>
  <si>
    <t>Lần lượt click vào từng menu ở cột Account Services</t>
  </si>
  <si>
    <t>Quan sát URL và nội dung màn hình chính</t>
  </si>
  <si>
    <t>Mỗi menu mở ra đúng chức năng tương ứng</t>
  </si>
  <si>
    <t>TR_GUI_02</t>
  </si>
  <si>
    <t>TC_F10.2</t>
  </si>
  <si>
    <t>Sự hiện diện của logo và các nút chính</t>
  </si>
  <si>
    <t>Quan sát khu vực Header</t>
  </si>
  <si>
    <t>Logo ParaBank hiển thị đúng, rõ nét</t>
  </si>
  <si>
    <t>Click thử vào Logo</t>
  </si>
  <si>
    <t>Trang reload lại Home Page</t>
  </si>
  <si>
    <t>TR_GUI_03</t>
  </si>
  <si>
    <t>TC_F10.3</t>
  </si>
  <si>
    <t>Footer links hoạt động</t>
  </si>
  <si>
    <t>Cuộn xuống cuối</t>
  </si>
  <si>
    <t>Click link "Home" dưới footer</t>
  </si>
  <si>
    <t>Về lại trang chủ</t>
  </si>
  <si>
    <t>Click "About Us", "Contact Us"</t>
  </si>
  <si>
    <t>Chuyển đến các trang tĩnh nội dung tương ứng</t>
  </si>
  <si>
    <t>TR_GUI_04</t>
  </si>
  <si>
    <t>TC_F10.4</t>
  </si>
  <si>
    <t>Kiểm tra giao diện Responsive cơ bản</t>
  </si>
  <si>
    <t>Đang mở Web</t>
  </si>
  <si>
    <t>Thu nhỏ dần chiều ngang của cửa sổ trình duyệt</t>
  </si>
  <si>
    <t>Quan sát các khối (blocks) giao diện</t>
  </si>
  <si>
    <t>Elements co dãn linh hoạt, không bị vỡ bố cục</t>
  </si>
  <si>
    <t>TR_GUI_05</t>
  </si>
  <si>
    <t>TC_F10.5</t>
  </si>
  <si>
    <t>Concurrency test (Đăng nhập nhiều tab)</t>
  </si>
  <si>
    <t>Tab 1 đăng nhập</t>
  </si>
  <si>
    <t>Đăng nhập thành công ở Tab 1</t>
  </si>
  <si>
    <t>Copy đường dẫn, dán sang một Tab 2 mới</t>
  </si>
  <si>
    <t>Tab 2 lập tức hiển thị trạng thái đã đăng nhập</t>
  </si>
  <si>
    <t>TR_GUI_06</t>
  </si>
  <si>
    <t>TC_F10.6</t>
  </si>
  <si>
    <t>Back button của trình duyệt sau khi Logout</t>
  </si>
  <si>
    <t>Sau Logout</t>
  </si>
  <si>
    <t>Nhấn nút "Log Out"</t>
  </si>
  <si>
    <t>Ấn nút mũi tên mũi tên quay lại (Back) trên Chrome</t>
  </si>
  <si>
    <t>Không truy cập được trang cũ, yêu cầu Login lại</t>
  </si>
  <si>
    <t>TR_GUI_07</t>
  </si>
  <si>
    <t>TC_F10.7</t>
  </si>
  <si>
    <t>Broken image links</t>
  </si>
  <si>
    <t>Toàn hệ thống</t>
  </si>
  <si>
    <t>Dùng tool hoặc cuộn chuột kiểm tra toàn bộ icon</t>
  </si>
  <si>
    <t>Click Inspect Network tab</t>
  </si>
  <si>
    <t>Không có ảnh nào bị 404/thiếu source</t>
  </si>
  <si>
    <t>TR_GUI_08</t>
  </si>
  <si>
    <t>TC_F10.8</t>
  </si>
  <si>
    <t>Session Timeout</t>
  </si>
  <si>
    <t>Đăng nhập xong, để yên treo máy trong khoảng 30 phút</t>
  </si>
  <si>
    <t>Sau 30 phút, click vào một menu bất kỳ</t>
  </si>
  <si>
    <t>Hệ thống thông báo hết phiên, văng ra trang Login</t>
  </si>
  <si>
    <t>Thành viên (Tester)</t>
  </si>
  <si>
    <t>Tổng Test Case đã chạy</t>
  </si>
  <si>
    <t>Số case PASS</t>
  </si>
  <si>
    <t>Số case FAIL</t>
  </si>
  <si>
    <t>Module đã phụ trách test</t>
  </si>
  <si>
    <t>F1 (Authentication)</t>
  </si>
  <si>
    <t>F7 (Admin Dashboard), F9 (Request Loan)</t>
  </si>
  <si>
    <t>Nhóm 4</t>
  </si>
  <si>
    <t>F4 (Transfer Funds), F6 (Find Transaction)</t>
  </si>
  <si>
    <t>F2 (Accounts Overview), F3 (Open New Account), F5 (Bill Pay)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</si>
</sst>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2">
    <font>
      <sz val="11"/>
      <color theme="1"/>
      <name val="Aptos Narrow"/>
      <family val="2"/>
      <scheme val="minor"/>
    </font>
    <font>
      <u/>
      <sz val="11"/>
      <color theme="10"/>
      <name val="Aptos Narrow"/>
      <family val="2"/>
      <scheme val="minor"/>
    </font>
    <font>
      <b/>
      <sz val="12"/>
      <color rgb="FF1F1F1F"/>
      <name val="Google Sans Text"/>
      <charset val="1"/>
    </font>
    <font>
      <sz val="12"/>
      <color rgb="FF1F1F1F"/>
      <name val="Google Sans Text"/>
      <charset val="1"/>
    </font>
    <font>
      <sz val="11"/>
      <color theme="1"/>
      <name val="Arial"/>
      <charset val="1"/>
    </font>
    <font>
      <b/>
      <sz val="11"/>
      <color theme="1"/>
      <name val="Arial"/>
      <charset val="1"/>
    </font>
    <font>
      <b/>
      <sz val="14"/>
      <color theme="1"/>
      <name val="Arial"/>
      <charset val="1"/>
    </font>
    <font>
      <sz val="10"/>
      <color theme="1"/>
      <name val="Arial"/>
      <family val="2"/>
    </font>
    <font>
      <sz val="11"/>
      <color rgb="FF006400"/>
      <name val="Arial"/>
      <family val="2"/>
    </font>
    <font>
      <u/>
      <sz val="11"/>
      <color rgb="FF0000FF"/>
      <name val="Arial"/>
      <family val="2"/>
    </font>
    <font>
      <u/>
      <sz val="11"/>
      <color rgb="FF0000FF"/>
      <name val="Aptos Narrow"/>
      <family val="2"/>
      <scheme val="minor"/>
    </font>
    <font>
      <sz val="11"/>
      <color rgb="FF8B0000"/>
      <name val="Arial"/>
      <family val="2"/>
    </font>
    <font>
      <sz val="11"/>
      <color rgb="FF006400"/>
      <name val="Aptos Narrow"/>
      <family val="2"/>
      <scheme val="minor"/>
    </font>
    <font>
      <b/>
      <sz val="10"/>
      <color rgb="FF000000"/>
      <name val="Arial"/>
      <family val="2"/>
    </font>
    <font>
      <sz val="10"/>
      <color rgb="FF000000"/>
      <name val="Arial"/>
      <family val="2"/>
    </font>
    <font>
      <i/>
      <sz val="10"/>
      <color rgb="FF000000"/>
      <name val="Arial"/>
      <family val="2"/>
    </font>
    <font>
      <i/>
      <sz val="10"/>
      <color rgb="FFFF0000"/>
      <name val="Arial"/>
      <family val="2"/>
    </font>
    <font>
      <b/>
      <sz val="10"/>
      <color rgb="FFFF0000"/>
      <name val="Arial"/>
      <family val="2"/>
    </font>
    <font>
      <b/>
      <sz val="12"/>
      <color rgb="FF000000"/>
      <name val="Arial"/>
      <family val="2"/>
    </font>
    <font>
      <sz val="11"/>
      <color theme="1"/>
      <name val="Arial"/>
      <family val="2"/>
    </font>
    <font>
      <b/>
      <sz val="11"/>
      <color theme="1"/>
      <name val="Arial"/>
      <family val="2"/>
    </font>
    <font>
      <b/>
      <sz val="16"/>
      <color theme="1"/>
      <name val="Aptos Narrow"/>
      <scheme val="minor"/>
    </font>
  </fonts>
  <fills count="11">
    <fill>
      <patternFill patternType="none"/>
    </fill>
    <fill>
      <patternFill patternType="gray125"/>
    </fill>
    <fill>
      <patternFill patternType="solid">
        <fgColor theme="4" tint="0.79998168889431442"/>
        <bgColor indexed="64"/>
      </patternFill>
    </fill>
    <fill>
      <patternFill patternType="solid">
        <fgColor theme="3" tint="0.749992370372631"/>
        <bgColor indexed="64"/>
      </patternFill>
    </fill>
    <fill>
      <patternFill patternType="solid">
        <fgColor rgb="FFFFFF00"/>
        <bgColor indexed="64"/>
      </patternFill>
    </fill>
    <fill>
      <patternFill patternType="solid">
        <fgColor theme="4" tint="0.59999389629810485"/>
        <bgColor indexed="64"/>
      </patternFill>
    </fill>
    <fill>
      <patternFill patternType="solid">
        <fgColor rgb="FF90EE90"/>
      </patternFill>
    </fill>
    <fill>
      <patternFill patternType="solid">
        <fgColor rgb="FFF08080"/>
      </patternFill>
    </fill>
    <fill>
      <patternFill patternType="solid">
        <fgColor rgb="FFFFD966"/>
        <bgColor rgb="FF000000"/>
      </patternFill>
    </fill>
    <fill>
      <patternFill patternType="solid">
        <fgColor rgb="FFB4C6E7"/>
        <bgColor rgb="FF000000"/>
      </patternFill>
    </fill>
    <fill>
      <patternFill patternType="solid">
        <fgColor rgb="FFCCFFFF"/>
        <bgColor rgb="FF000000"/>
      </patternFill>
    </fill>
  </fills>
  <borders count="42">
    <border>
      <left/>
      <right/>
      <top/>
      <bottom/>
      <diagonal/>
    </border>
    <border>
      <left style="thin">
        <color rgb="FF1F1F1F"/>
      </left>
      <right style="thin">
        <color rgb="FF1F1F1F"/>
      </right>
      <top style="thin">
        <color rgb="FF1F1F1F"/>
      </top>
      <bottom style="thin">
        <color rgb="FF1F1F1F"/>
      </bottom>
      <diagonal/>
    </border>
    <border>
      <left style="thin">
        <color rgb="FF1F1F1F"/>
      </left>
      <right style="thin">
        <color rgb="FF1F1F1F"/>
      </right>
      <top style="thin">
        <color rgb="FF1F1F1F"/>
      </top>
      <bottom/>
      <diagonal/>
    </border>
    <border>
      <left style="thin">
        <color rgb="FF1F1F1F"/>
      </left>
      <right style="thin">
        <color rgb="FF1F1F1F"/>
      </right>
      <top/>
      <bottom/>
      <diagonal/>
    </border>
    <border>
      <left style="thin">
        <color rgb="FF1F1F1F"/>
      </left>
      <right style="thin">
        <color rgb="FF1F1F1F"/>
      </right>
      <top/>
      <bottom style="thin">
        <color rgb="FF1F1F1F"/>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medium">
        <color rgb="FFCCCCCC"/>
      </left>
      <right style="medium">
        <color rgb="FFCCCCCC"/>
      </right>
      <top style="medium">
        <color rgb="FFCCCCCC"/>
      </top>
      <bottom style="medium">
        <color rgb="FFCCCCCC"/>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rgb="FF000000"/>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rgb="FF000000"/>
      </right>
      <top style="thin">
        <color indexed="64"/>
      </top>
      <bottom style="thin">
        <color indexed="64"/>
      </bottom>
      <diagonal/>
    </border>
    <border>
      <left style="medium">
        <color indexed="64"/>
      </left>
      <right style="thin">
        <color indexed="64"/>
      </right>
      <top/>
      <bottom style="medium">
        <color indexed="64"/>
      </bottom>
      <diagonal/>
    </border>
    <border>
      <left style="thin">
        <color auto="1"/>
      </left>
      <right/>
      <top style="thin">
        <color auto="1"/>
      </top>
      <bottom style="medium">
        <color auto="1"/>
      </bottom>
      <diagonal/>
    </border>
    <border>
      <left/>
      <right/>
      <top style="thin">
        <color indexed="64"/>
      </top>
      <bottom style="medium">
        <color indexed="64"/>
      </bottom>
      <diagonal/>
    </border>
    <border>
      <left/>
      <right style="medium">
        <color rgb="FF000000"/>
      </right>
      <top style="thin">
        <color indexed="64"/>
      </top>
      <bottom style="medium">
        <color indexed="64"/>
      </bottom>
      <diagonal/>
    </border>
    <border>
      <left style="medium">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medium">
        <color rgb="FF000000"/>
      </left>
      <right style="medium">
        <color rgb="FF000000"/>
      </right>
      <top style="medium">
        <color rgb="FF000000"/>
      </top>
      <bottom style="medium">
        <color rgb="FF000000"/>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medium">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99">
    <xf numFmtId="0" fontId="0" fillId="0" borderId="0" xfId="0"/>
    <xf numFmtId="0" fontId="2" fillId="0" borderId="1" xfId="0" applyFont="1" applyBorder="1" applyAlignment="1">
      <alignment horizontal="center" vertical="center" readingOrder="1"/>
    </xf>
    <xf numFmtId="0" fontId="3" fillId="0" borderId="1" xfId="0" applyFont="1" applyBorder="1" applyAlignment="1">
      <alignment horizontal="center" vertical="center" readingOrder="1"/>
    </xf>
    <xf numFmtId="0" fontId="4" fillId="0" borderId="5" xfId="0" applyFont="1" applyBorder="1" applyAlignment="1">
      <alignment horizontal="center" vertical="center" readingOrder="1"/>
    </xf>
    <xf numFmtId="0" fontId="4" fillId="0" borderId="5" xfId="0" applyFont="1" applyBorder="1" applyAlignment="1">
      <alignment horizontal="center" vertical="center" wrapText="1" readingOrder="1"/>
    </xf>
    <xf numFmtId="6" fontId="4" fillId="0" borderId="5" xfId="0" applyNumberFormat="1" applyFont="1" applyBorder="1" applyAlignment="1">
      <alignment horizontal="center" vertical="center" readingOrder="1"/>
    </xf>
    <xf numFmtId="14" fontId="4" fillId="0" borderId="5" xfId="0" applyNumberFormat="1" applyFont="1" applyBorder="1" applyAlignment="1">
      <alignment horizontal="center" vertical="center" readingOrder="1"/>
    </xf>
    <xf numFmtId="0" fontId="1" fillId="0" borderId="5" xfId="1" applyBorder="1" applyAlignment="1">
      <alignment horizontal="center" vertical="center" readingOrder="1"/>
    </xf>
    <xf numFmtId="0" fontId="0" fillId="0" borderId="0" xfId="0" applyAlignment="1">
      <alignment horizontal="center"/>
    </xf>
    <xf numFmtId="0" fontId="0" fillId="0" borderId="0" xfId="0" applyAlignment="1">
      <alignment horizontal="center" vertical="center"/>
    </xf>
    <xf numFmtId="0" fontId="7" fillId="0" borderId="15" xfId="0" applyFont="1" applyBorder="1" applyAlignment="1">
      <alignment wrapText="1"/>
    </xf>
    <xf numFmtId="0" fontId="4" fillId="0" borderId="15" xfId="0" applyNumberFormat="1" applyFont="1" applyFill="1" applyBorder="1" applyAlignment="1" applyProtection="1">
      <alignment horizontal="center" vertical="center" wrapText="1"/>
    </xf>
    <xf numFmtId="0" fontId="0" fillId="0" borderId="0" xfId="0" applyAlignment="1">
      <alignment wrapText="1"/>
    </xf>
    <xf numFmtId="0" fontId="14" fillId="0" borderId="0" xfId="0" applyFont="1" applyAlignment="1">
      <alignment wrapText="1"/>
    </xf>
    <xf numFmtId="0" fontId="14" fillId="0" borderId="0" xfId="0" applyFont="1" applyAlignment="1">
      <alignment horizontal="center" vertical="center" wrapText="1"/>
    </xf>
    <xf numFmtId="0" fontId="17" fillId="0" borderId="0" xfId="0" applyFont="1" applyAlignment="1">
      <alignment horizontal="center" vertical="center" wrapText="1"/>
    </xf>
    <xf numFmtId="0" fontId="13" fillId="0" borderId="0" xfId="0" applyFont="1" applyAlignment="1">
      <alignment horizontal="center" vertical="center" wrapText="1"/>
    </xf>
    <xf numFmtId="0" fontId="5" fillId="0" borderId="35" xfId="0" applyNumberFormat="1" applyFont="1" applyFill="1" applyBorder="1" applyAlignment="1" applyProtection="1">
      <alignment horizontal="center" vertical="center" wrapText="1"/>
    </xf>
    <xf numFmtId="0" fontId="4" fillId="0" borderId="35" xfId="0" applyNumberFormat="1" applyFont="1" applyFill="1" applyBorder="1" applyAlignment="1" applyProtection="1">
      <alignment horizontal="center" vertical="center" wrapText="1"/>
    </xf>
    <xf numFmtId="0" fontId="13" fillId="8" borderId="19" xfId="0" applyNumberFormat="1" applyFont="1" applyFill="1" applyBorder="1" applyAlignment="1" applyProtection="1">
      <alignment horizontal="center" vertical="center" wrapText="1"/>
    </xf>
    <xf numFmtId="0" fontId="13" fillId="8" borderId="23" xfId="0" applyNumberFormat="1" applyFont="1" applyFill="1" applyBorder="1" applyAlignment="1" applyProtection="1">
      <alignment horizontal="center" vertical="center" wrapText="1"/>
    </xf>
    <xf numFmtId="0" fontId="13" fillId="9" borderId="19" xfId="0" applyNumberFormat="1" applyFont="1" applyFill="1" applyBorder="1" applyAlignment="1" applyProtection="1">
      <alignment horizontal="center" vertical="center" wrapText="1"/>
    </xf>
    <xf numFmtId="0" fontId="18" fillId="10" borderId="34" xfId="0" applyNumberFormat="1" applyFont="1" applyFill="1" applyBorder="1" applyAlignment="1" applyProtection="1">
      <alignment horizontal="center" vertical="center" wrapText="1"/>
    </xf>
    <xf numFmtId="0" fontId="4" fillId="5" borderId="15" xfId="0" applyNumberFormat="1" applyFont="1" applyFill="1" applyBorder="1" applyAlignment="1" applyProtection="1">
      <alignment horizontal="center" vertical="center" wrapText="1"/>
    </xf>
    <xf numFmtId="0" fontId="4" fillId="4" borderId="15" xfId="0" applyNumberFormat="1" applyFont="1" applyFill="1" applyBorder="1" applyAlignment="1" applyProtection="1">
      <alignment horizontal="center" vertical="center" wrapText="1"/>
    </xf>
    <xf numFmtId="0" fontId="2" fillId="3" borderId="1" xfId="0" applyNumberFormat="1" applyFont="1" applyFill="1" applyBorder="1" applyAlignment="1" applyProtection="1">
      <alignment horizontal="center" vertical="center" readingOrder="1"/>
    </xf>
    <xf numFmtId="0" fontId="5" fillId="3" borderId="5" xfId="0" applyNumberFormat="1" applyFont="1" applyFill="1" applyBorder="1" applyAlignment="1" applyProtection="1">
      <alignment horizontal="center" vertical="center" readingOrder="1"/>
    </xf>
    <xf numFmtId="0" fontId="5" fillId="3" borderId="5" xfId="0" applyNumberFormat="1" applyFont="1" applyFill="1" applyBorder="1" applyAlignment="1" applyProtection="1">
      <alignment horizontal="center" vertical="center" wrapText="1" readingOrder="1"/>
    </xf>
    <xf numFmtId="0" fontId="20" fillId="4" borderId="41" xfId="0" applyFont="1" applyFill="1" applyBorder="1" applyAlignment="1">
      <alignment horizontal="center" vertical="center"/>
    </xf>
    <xf numFmtId="0" fontId="19" fillId="0" borderId="41" xfId="0" applyFont="1" applyBorder="1" applyAlignment="1">
      <alignment horizontal="center" vertical="center"/>
    </xf>
    <xf numFmtId="0" fontId="20" fillId="4" borderId="41" xfId="0" applyFont="1" applyFill="1" applyBorder="1" applyAlignment="1">
      <alignment horizontal="center" vertical="center" wrapText="1"/>
    </xf>
    <xf numFmtId="0" fontId="19" fillId="0" borderId="41" xfId="0" applyFont="1" applyBorder="1" applyAlignment="1">
      <alignment horizontal="center" vertical="center" wrapText="1"/>
    </xf>
    <xf numFmtId="0" fontId="21" fillId="4" borderId="41" xfId="0" applyFont="1" applyFill="1" applyBorder="1" applyAlignment="1">
      <alignment horizontal="center"/>
    </xf>
    <xf numFmtId="0" fontId="0" fillId="4" borderId="41" xfId="0" applyFill="1" applyBorder="1" applyAlignment="1">
      <alignment horizontal="center"/>
    </xf>
    <xf numFmtId="0" fontId="13" fillId="8" borderId="16" xfId="0" applyNumberFormat="1" applyFont="1" applyFill="1" applyBorder="1" applyAlignment="1" applyProtection="1">
      <alignment horizontal="center" vertical="center" wrapText="1"/>
    </xf>
    <xf numFmtId="0" fontId="13" fillId="8" borderId="17" xfId="0" applyNumberFormat="1" applyFont="1" applyFill="1" applyBorder="1" applyAlignment="1" applyProtection="1">
      <alignment horizontal="center" vertical="center" wrapText="1"/>
    </xf>
    <xf numFmtId="0" fontId="13" fillId="8" borderId="18" xfId="0" applyNumberFormat="1" applyFont="1" applyFill="1" applyBorder="1" applyAlignment="1" applyProtection="1">
      <alignment horizontal="center" vertical="center" wrapText="1"/>
    </xf>
    <xf numFmtId="0" fontId="14" fillId="0" borderId="20" xfId="0" applyFont="1" applyBorder="1" applyAlignment="1">
      <alignment horizontal="center" vertical="center" wrapText="1"/>
    </xf>
    <xf numFmtId="0" fontId="14" fillId="0" borderId="21" xfId="0" applyFont="1" applyBorder="1" applyAlignment="1">
      <alignment horizontal="center" vertical="center" wrapText="1"/>
    </xf>
    <xf numFmtId="0" fontId="14" fillId="0" borderId="22" xfId="0" applyFont="1" applyBorder="1" applyAlignment="1">
      <alignment horizontal="center" vertical="center" wrapText="1"/>
    </xf>
    <xf numFmtId="0" fontId="14" fillId="0" borderId="24" xfId="0" applyFont="1" applyBorder="1" applyAlignment="1">
      <alignment horizontal="center" vertical="center" wrapText="1"/>
    </xf>
    <xf numFmtId="0" fontId="14" fillId="0" borderId="25" xfId="0" applyFont="1" applyBorder="1" applyAlignment="1">
      <alignment horizontal="center" vertical="center" wrapText="1"/>
    </xf>
    <xf numFmtId="0" fontId="14" fillId="0" borderId="26" xfId="0" applyFont="1" applyBorder="1" applyAlignment="1">
      <alignment horizontal="center" vertical="center" wrapText="1"/>
    </xf>
    <xf numFmtId="0" fontId="13" fillId="9" borderId="16" xfId="0" applyNumberFormat="1" applyFont="1" applyFill="1" applyBorder="1" applyAlignment="1" applyProtection="1">
      <alignment horizontal="center" vertical="center" wrapText="1"/>
    </xf>
    <xf numFmtId="0" fontId="13" fillId="9" borderId="17" xfId="0" applyNumberFormat="1" applyFont="1" applyFill="1" applyBorder="1" applyAlignment="1" applyProtection="1">
      <alignment horizontal="center" vertical="center" wrapText="1"/>
    </xf>
    <xf numFmtId="0" fontId="13" fillId="9" borderId="18" xfId="0" applyNumberFormat="1" applyFont="1" applyFill="1" applyBorder="1" applyAlignment="1" applyProtection="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3" fillId="0" borderId="22" xfId="0" applyFont="1" applyBorder="1" applyAlignment="1">
      <alignment horizontal="center" vertical="center" wrapText="1"/>
    </xf>
    <xf numFmtId="0" fontId="13" fillId="9" borderId="27" xfId="0" applyNumberFormat="1" applyFont="1" applyFill="1" applyBorder="1" applyAlignment="1" applyProtection="1">
      <alignment horizontal="center" vertical="center" wrapText="1"/>
    </xf>
    <xf numFmtId="0" fontId="13" fillId="9" borderId="29" xfId="0" applyNumberFormat="1" applyFont="1" applyFill="1" applyBorder="1" applyAlignment="1" applyProtection="1">
      <alignment horizontal="center" vertical="center" wrapText="1"/>
    </xf>
    <xf numFmtId="0" fontId="13" fillId="9" borderId="19" xfId="0" applyNumberFormat="1" applyFont="1" applyFill="1" applyBorder="1" applyAlignment="1" applyProtection="1">
      <alignment horizontal="center" vertical="center" wrapText="1"/>
    </xf>
    <xf numFmtId="0" fontId="15" fillId="0" borderId="20" xfId="0" applyFont="1" applyBorder="1" applyAlignment="1">
      <alignment horizontal="center" vertical="center" wrapText="1"/>
    </xf>
    <xf numFmtId="0" fontId="15" fillId="0" borderId="21" xfId="0" applyFont="1" applyBorder="1" applyAlignment="1">
      <alignment horizontal="center" vertical="center" wrapText="1"/>
    </xf>
    <xf numFmtId="0" fontId="15" fillId="0" borderId="28" xfId="0" applyFont="1" applyBorder="1" applyAlignment="1">
      <alignment horizontal="center" vertical="center" wrapText="1"/>
    </xf>
    <xf numFmtId="0" fontId="16" fillId="0" borderId="20" xfId="0" applyFont="1" applyBorder="1" applyAlignment="1">
      <alignment horizontal="center" vertical="center" wrapText="1"/>
    </xf>
    <xf numFmtId="0" fontId="16" fillId="0" borderId="21" xfId="0" applyFont="1" applyBorder="1" applyAlignment="1">
      <alignment horizontal="center" vertical="center" wrapText="1"/>
    </xf>
    <xf numFmtId="0" fontId="16" fillId="0" borderId="28" xfId="0" applyFont="1" applyBorder="1" applyAlignment="1">
      <alignment horizontal="center" vertical="center" wrapText="1"/>
    </xf>
    <xf numFmtId="0" fontId="17" fillId="0" borderId="20" xfId="0" applyFont="1" applyBorder="1" applyAlignment="1">
      <alignment horizontal="center" vertical="center" wrapText="1"/>
    </xf>
    <xf numFmtId="0" fontId="17" fillId="0" borderId="21" xfId="0" applyFont="1" applyBorder="1" applyAlignment="1">
      <alignment horizontal="center" vertical="center" wrapText="1"/>
    </xf>
    <xf numFmtId="0" fontId="17" fillId="0" borderId="22" xfId="0" applyFont="1" applyBorder="1" applyAlignment="1">
      <alignment horizontal="center" vertical="center" wrapText="1"/>
    </xf>
    <xf numFmtId="0" fontId="13" fillId="0" borderId="20" xfId="0" applyFont="1" applyBorder="1" applyAlignment="1">
      <alignment horizontal="center" vertical="center"/>
    </xf>
    <xf numFmtId="0" fontId="13" fillId="0" borderId="21" xfId="0" applyFont="1" applyBorder="1" applyAlignment="1">
      <alignment horizontal="center" vertical="center"/>
    </xf>
    <xf numFmtId="0" fontId="13" fillId="0" borderId="22" xfId="0" applyFont="1" applyBorder="1" applyAlignment="1">
      <alignment horizontal="center" vertical="center"/>
    </xf>
    <xf numFmtId="0" fontId="18" fillId="10" borderId="31" xfId="0" applyNumberFormat="1" applyFont="1" applyFill="1" applyBorder="1" applyAlignment="1" applyProtection="1">
      <alignment horizontal="center" vertical="center" wrapText="1"/>
    </xf>
    <xf numFmtId="0" fontId="18" fillId="10" borderId="33" xfId="0" applyNumberFormat="1" applyFont="1" applyFill="1" applyBorder="1" applyAlignment="1" applyProtection="1">
      <alignment horizontal="center" vertical="center" wrapText="1"/>
    </xf>
    <xf numFmtId="0" fontId="18" fillId="10" borderId="36" xfId="0" applyNumberFormat="1" applyFont="1" applyFill="1" applyBorder="1" applyAlignment="1" applyProtection="1">
      <alignment horizontal="center" vertical="center" wrapText="1"/>
    </xf>
    <xf numFmtId="0" fontId="18" fillId="10" borderId="37" xfId="0" applyNumberFormat="1" applyFont="1" applyFill="1" applyBorder="1" applyAlignment="1" applyProtection="1">
      <alignment horizontal="center" vertical="center" wrapText="1"/>
    </xf>
    <xf numFmtId="0" fontId="18" fillId="10" borderId="32" xfId="0" applyNumberFormat="1" applyFont="1" applyFill="1" applyBorder="1" applyAlignment="1" applyProtection="1">
      <alignment horizontal="center" vertical="center" wrapText="1"/>
    </xf>
    <xf numFmtId="0" fontId="18" fillId="10" borderId="38" xfId="0" applyNumberFormat="1" applyFont="1" applyFill="1" applyBorder="1" applyAlignment="1" applyProtection="1">
      <alignment horizontal="center" vertical="center" wrapText="1"/>
    </xf>
    <xf numFmtId="0" fontId="18" fillId="10" borderId="39" xfId="0" applyNumberFormat="1" applyFont="1" applyFill="1" applyBorder="1" applyAlignment="1" applyProtection="1">
      <alignment horizontal="center" vertical="center" wrapText="1"/>
    </xf>
    <xf numFmtId="0" fontId="18" fillId="10" borderId="30" xfId="0" applyNumberFormat="1" applyFont="1" applyFill="1" applyBorder="1" applyAlignment="1" applyProtection="1">
      <alignment horizontal="center" vertical="center" wrapText="1"/>
    </xf>
    <xf numFmtId="0" fontId="18" fillId="10" borderId="40" xfId="0" applyNumberFormat="1" applyFont="1" applyFill="1" applyBorder="1" applyAlignment="1" applyProtection="1">
      <alignment horizontal="center" vertical="center" wrapText="1"/>
    </xf>
    <xf numFmtId="0" fontId="2" fillId="0" borderId="2" xfId="0" applyFont="1" applyBorder="1" applyAlignment="1">
      <alignment horizontal="center" vertical="center" readingOrder="1"/>
    </xf>
    <xf numFmtId="0" fontId="2" fillId="0" borderId="3" xfId="0" applyFont="1" applyBorder="1" applyAlignment="1">
      <alignment horizontal="center" vertical="center" readingOrder="1"/>
    </xf>
    <xf numFmtId="0" fontId="2" fillId="0" borderId="4" xfId="0" applyFont="1" applyBorder="1" applyAlignment="1">
      <alignment horizontal="center" vertical="center" readingOrder="1"/>
    </xf>
    <xf numFmtId="0" fontId="6" fillId="2" borderId="9" xfId="0" applyNumberFormat="1" applyFont="1" applyFill="1" applyBorder="1" applyAlignment="1" applyProtection="1">
      <alignment horizontal="center" vertical="center" wrapText="1" readingOrder="1"/>
    </xf>
    <xf numFmtId="0" fontId="6" fillId="2" borderId="10" xfId="0" applyNumberFormat="1" applyFont="1" applyFill="1" applyBorder="1" applyAlignment="1" applyProtection="1">
      <alignment horizontal="center" vertical="center" wrapText="1" readingOrder="1"/>
    </xf>
    <xf numFmtId="0" fontId="6" fillId="2" borderId="11" xfId="0" applyNumberFormat="1" applyFont="1" applyFill="1" applyBorder="1" applyAlignment="1" applyProtection="1">
      <alignment horizontal="center" vertical="center" wrapText="1" readingOrder="1"/>
    </xf>
    <xf numFmtId="0" fontId="4" fillId="0" borderId="6" xfId="0" applyFont="1" applyBorder="1" applyAlignment="1">
      <alignment horizontal="center" vertical="center" readingOrder="1"/>
    </xf>
    <xf numFmtId="0" fontId="4" fillId="0" borderId="7" xfId="0" applyFont="1" applyBorder="1" applyAlignment="1">
      <alignment horizontal="center" vertical="center" readingOrder="1"/>
    </xf>
    <xf numFmtId="0" fontId="4" fillId="0" borderId="8" xfId="0" applyFont="1" applyBorder="1" applyAlignment="1">
      <alignment horizontal="center" vertical="center" readingOrder="1"/>
    </xf>
    <xf numFmtId="0" fontId="4" fillId="0" borderId="6" xfId="0" applyFont="1" applyBorder="1" applyAlignment="1">
      <alignment horizontal="center" vertical="center" wrapText="1" readingOrder="1"/>
    </xf>
    <xf numFmtId="0" fontId="4" fillId="0" borderId="7" xfId="0" applyFont="1" applyBorder="1" applyAlignment="1">
      <alignment horizontal="center" vertical="center" wrapText="1" readingOrder="1"/>
    </xf>
    <xf numFmtId="0" fontId="4" fillId="0" borderId="8" xfId="0" applyFont="1" applyBorder="1" applyAlignment="1">
      <alignment horizontal="center" vertical="center" wrapText="1" readingOrder="1"/>
    </xf>
    <xf numFmtId="0" fontId="8" fillId="6" borderId="6" xfId="0" applyNumberFormat="1" applyFont="1" applyFill="1" applyBorder="1" applyAlignment="1" applyProtection="1">
      <alignment horizontal="center" vertical="center" readingOrder="1"/>
    </xf>
    <xf numFmtId="0" fontId="9" fillId="0" borderId="6" xfId="0" applyNumberFormat="1" applyFont="1" applyFill="1" applyBorder="1" applyAlignment="1" applyProtection="1">
      <alignment horizontal="center" vertical="center" readingOrder="1"/>
    </xf>
    <xf numFmtId="0" fontId="11" fillId="7" borderId="6" xfId="0" applyNumberFormat="1" applyFont="1" applyFill="1" applyBorder="1" applyAlignment="1" applyProtection="1">
      <alignment horizontal="center" vertical="center" readingOrder="1"/>
    </xf>
    <xf numFmtId="0" fontId="6" fillId="2" borderId="9" xfId="0" applyNumberFormat="1" applyFont="1" applyFill="1" applyBorder="1" applyAlignment="1" applyProtection="1">
      <alignment horizontal="center" vertical="center" readingOrder="1"/>
    </xf>
    <xf numFmtId="0" fontId="6" fillId="2" borderId="10" xfId="0" applyNumberFormat="1" applyFont="1" applyFill="1" applyBorder="1" applyAlignment="1" applyProtection="1">
      <alignment horizontal="center" vertical="center" readingOrder="1"/>
    </xf>
    <xf numFmtId="0" fontId="6" fillId="2" borderId="11" xfId="0" applyNumberFormat="1" applyFont="1" applyFill="1" applyBorder="1" applyAlignment="1" applyProtection="1">
      <alignment horizontal="center" vertical="center" readingOrder="1"/>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12" fillId="6" borderId="12" xfId="0" applyNumberFormat="1" applyFont="1" applyFill="1" applyBorder="1" applyAlignment="1" applyProtection="1">
      <alignment horizontal="center" vertical="center"/>
    </xf>
    <xf numFmtId="0" fontId="10" fillId="0" borderId="12" xfId="0" applyNumberFormat="1" applyFont="1" applyFill="1" applyBorder="1" applyAlignment="1" applyProtection="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Screenshots/TC_F4.3.png" TargetMode="External"/><Relationship Id="rId13" Type="http://schemas.openxmlformats.org/officeDocument/2006/relationships/hyperlink" Target="../Screenshots/TC_F4.4.png" TargetMode="External"/><Relationship Id="rId18" Type="http://schemas.openxmlformats.org/officeDocument/2006/relationships/hyperlink" Target="../Screenshots/TC_F6.3_20260325_074154.png" TargetMode="External"/><Relationship Id="rId26" Type="http://schemas.openxmlformats.org/officeDocument/2006/relationships/hyperlink" Target="../Screenshots/TC_F7.20_20260324_225758.png" TargetMode="External"/><Relationship Id="rId3" Type="http://schemas.openxmlformats.org/officeDocument/2006/relationships/hyperlink" Target="https://api.test/" TargetMode="External"/><Relationship Id="rId21" Type="http://schemas.openxmlformats.org/officeDocument/2006/relationships/hyperlink" Target="../Screenshots/TC_F6.6_20260325_074214.png" TargetMode="External"/><Relationship Id="rId7" Type="http://schemas.openxmlformats.org/officeDocument/2006/relationships/hyperlink" Target="../Screenshots/TC_F4.1_20260324_180352.png" TargetMode="External"/><Relationship Id="rId12" Type="http://schemas.openxmlformats.org/officeDocument/2006/relationships/hyperlink" Target="../Screenshots/TC_F4.2.png" TargetMode="External"/><Relationship Id="rId17" Type="http://schemas.openxmlformats.org/officeDocument/2006/relationships/hyperlink" Target="../Screenshots/TC_F6.2_20260325_074143.png" TargetMode="External"/><Relationship Id="rId25" Type="http://schemas.openxmlformats.org/officeDocument/2006/relationships/hyperlink" Target="../Screenshots/TC_F7.2_20260324_225725.png" TargetMode="External"/><Relationship Id="rId2" Type="http://schemas.openxmlformats.org/officeDocument/2006/relationships/hyperlink" Target="http://www.abc.com/" TargetMode="External"/><Relationship Id="rId16" Type="http://schemas.openxmlformats.org/officeDocument/2006/relationships/hyperlink" Target="../Screenshots/TC_F6.1_20260325_074131.png" TargetMode="External"/><Relationship Id="rId20" Type="http://schemas.openxmlformats.org/officeDocument/2006/relationships/hyperlink" Target="../Screenshots/TC_F6.5_20260324_212731.png" TargetMode="External"/><Relationship Id="rId29" Type="http://schemas.openxmlformats.org/officeDocument/2006/relationships/hyperlink" Target="../Screenshots/TC_F7.1_20260324_231135.png" TargetMode="External"/><Relationship Id="rId1" Type="http://schemas.openxmlformats.org/officeDocument/2006/relationships/hyperlink" Target="http://api.test/" TargetMode="External"/><Relationship Id="rId6" Type="http://schemas.openxmlformats.org/officeDocument/2006/relationships/hyperlink" Target="../Screenshots/TC_F3.9_20260325_074249.png" TargetMode="External"/><Relationship Id="rId11" Type="http://schemas.openxmlformats.org/officeDocument/2006/relationships/hyperlink" Target="../Screenshots/TC_F9.3_20260324_192007.png" TargetMode="External"/><Relationship Id="rId24" Type="http://schemas.openxmlformats.org/officeDocument/2006/relationships/hyperlink" Target="../Screenshots/TC_F5.4_20260324_224114.png" TargetMode="External"/><Relationship Id="rId5" Type="http://schemas.openxmlformats.org/officeDocument/2006/relationships/hyperlink" Target="..\Screenshots\TC_F3.5_20260325_074242.png" TargetMode="External"/><Relationship Id="rId15" Type="http://schemas.openxmlformats.org/officeDocument/2006/relationships/hyperlink" Target="../Screenshots/TC_F4.7.png" TargetMode="External"/><Relationship Id="rId23" Type="http://schemas.openxmlformats.org/officeDocument/2006/relationships/hyperlink" Target="../Screenshots/TC_F5.1_20260324_224035.png" TargetMode="External"/><Relationship Id="rId28" Type="http://schemas.openxmlformats.org/officeDocument/2006/relationships/hyperlink" Target="..\Screenshots\TC_F5.7_20260325_074121.png" TargetMode="External"/><Relationship Id="rId10" Type="http://schemas.openxmlformats.org/officeDocument/2006/relationships/hyperlink" Target="../Screenshots/TC_F4.8.png" TargetMode="External"/><Relationship Id="rId19" Type="http://schemas.openxmlformats.org/officeDocument/2006/relationships/hyperlink" Target="../Screenshots/TC_F6.4_20260325_074201.png" TargetMode="External"/><Relationship Id="rId4" Type="http://schemas.openxmlformats.org/officeDocument/2006/relationships/hyperlink" Target="http://loan.test/" TargetMode="External"/><Relationship Id="rId9" Type="http://schemas.openxmlformats.org/officeDocument/2006/relationships/hyperlink" Target="../Screenshots/TC_F4.6.png" TargetMode="External"/><Relationship Id="rId14" Type="http://schemas.openxmlformats.org/officeDocument/2006/relationships/hyperlink" Target="../Screenshots/TC_F4.11.png" TargetMode="External"/><Relationship Id="rId22" Type="http://schemas.openxmlformats.org/officeDocument/2006/relationships/hyperlink" Target="..\Screenshots\TC_F1.10_20260325_075158.png" TargetMode="External"/><Relationship Id="rId27" Type="http://schemas.openxmlformats.org/officeDocument/2006/relationships/hyperlink" Target="../Screenshots/TC_F5.3_20260325_074051.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75CCA-7ED1-45AE-B57B-B429E1889B84}">
  <dimension ref="A1:M42"/>
  <sheetViews>
    <sheetView workbookViewId="0">
      <selection activeCell="E12" sqref="E12"/>
    </sheetView>
  </sheetViews>
  <sheetFormatPr defaultRowHeight="14.25"/>
  <cols>
    <col min="1" max="1" width="18.75" customWidth="1"/>
    <col min="2" max="4" width="13.75" customWidth="1"/>
    <col min="5" max="5" width="55.125" customWidth="1"/>
    <col min="6" max="6" width="13.75" customWidth="1"/>
    <col min="7" max="7" width="44.375" customWidth="1"/>
    <col min="8" max="8" width="1.75" customWidth="1"/>
  </cols>
  <sheetData>
    <row r="1" spans="1:13" ht="20.25">
      <c r="A1" s="32" t="s">
        <v>1275</v>
      </c>
      <c r="B1" s="33"/>
      <c r="C1" s="33"/>
      <c r="D1" s="33"/>
      <c r="E1" s="33"/>
    </row>
    <row r="2" spans="1:13" ht="30">
      <c r="A2" s="30" t="s">
        <v>1268</v>
      </c>
      <c r="B2" s="30" t="s">
        <v>1269</v>
      </c>
      <c r="C2" s="30" t="s">
        <v>1270</v>
      </c>
      <c r="D2" s="30" t="s">
        <v>1271</v>
      </c>
      <c r="E2" s="28" t="s">
        <v>1272</v>
      </c>
      <c r="I2" s="13"/>
      <c r="J2" s="13"/>
      <c r="K2" s="13"/>
      <c r="L2" s="13"/>
      <c r="M2" s="13"/>
    </row>
    <row r="3" spans="1:13">
      <c r="A3" s="31" t="s">
        <v>226</v>
      </c>
      <c r="B3" s="31">
        <v>14</v>
      </c>
      <c r="C3" s="31">
        <v>3</v>
      </c>
      <c r="D3" s="31">
        <v>11</v>
      </c>
      <c r="E3" s="29" t="s">
        <v>1276</v>
      </c>
      <c r="I3" s="13"/>
      <c r="J3" s="13"/>
      <c r="K3" s="13"/>
      <c r="L3" s="13"/>
      <c r="M3" s="13"/>
    </row>
    <row r="4" spans="1:13">
      <c r="A4" s="31" t="s">
        <v>399</v>
      </c>
      <c r="B4" s="31">
        <v>10</v>
      </c>
      <c r="C4" s="31">
        <v>9</v>
      </c>
      <c r="D4" s="31">
        <v>1</v>
      </c>
      <c r="E4" s="29" t="s">
        <v>1273</v>
      </c>
      <c r="I4" s="13"/>
      <c r="J4" s="13"/>
      <c r="K4" s="13"/>
      <c r="L4" s="13"/>
      <c r="M4" s="13"/>
    </row>
    <row r="5" spans="1:13">
      <c r="A5" s="31" t="s">
        <v>506</v>
      </c>
      <c r="B5" s="31">
        <v>15</v>
      </c>
      <c r="C5" s="31">
        <v>11</v>
      </c>
      <c r="D5" s="31">
        <v>4</v>
      </c>
      <c r="E5" s="29" t="s">
        <v>1277</v>
      </c>
      <c r="I5" s="13"/>
      <c r="J5" s="13"/>
      <c r="K5" s="13"/>
      <c r="L5" s="13"/>
      <c r="M5" s="13"/>
    </row>
    <row r="6" spans="1:13">
      <c r="A6" s="31" t="s">
        <v>861</v>
      </c>
      <c r="B6" s="31">
        <v>14</v>
      </c>
      <c r="C6" s="31">
        <v>14</v>
      </c>
      <c r="D6" s="31">
        <v>0</v>
      </c>
      <c r="E6" s="29" t="s">
        <v>1274</v>
      </c>
      <c r="I6" s="13"/>
      <c r="J6" s="13"/>
      <c r="K6" s="13"/>
      <c r="L6" s="13"/>
      <c r="M6" s="13"/>
    </row>
    <row r="7" spans="1:13">
      <c r="I7" s="13"/>
      <c r="J7" s="13"/>
      <c r="K7" s="13"/>
      <c r="L7" s="13"/>
      <c r="M7" s="13"/>
    </row>
    <row r="8" spans="1:13">
      <c r="I8" s="13"/>
      <c r="J8" s="13"/>
      <c r="K8" s="13"/>
      <c r="L8" s="13"/>
      <c r="M8" s="13"/>
    </row>
    <row r="9" spans="1:13">
      <c r="I9" s="13"/>
      <c r="J9" s="13"/>
      <c r="K9" s="13"/>
      <c r="L9" s="13"/>
      <c r="M9" s="13"/>
    </row>
    <row r="10" spans="1:13">
      <c r="I10" s="14"/>
      <c r="J10" s="14"/>
      <c r="K10" s="14"/>
      <c r="L10" s="14"/>
      <c r="M10" s="14"/>
    </row>
    <row r="17" spans="1:8" ht="15" customHeight="1"/>
    <row r="18" spans="1:8">
      <c r="A18" s="34" t="s">
        <v>0</v>
      </c>
      <c r="B18" s="35"/>
      <c r="C18" s="35"/>
      <c r="D18" s="35"/>
      <c r="E18" s="35"/>
      <c r="F18" s="35"/>
      <c r="G18" s="35"/>
      <c r="H18" s="36"/>
    </row>
    <row r="19" spans="1:8">
      <c r="A19" s="19" t="s">
        <v>1</v>
      </c>
      <c r="B19" s="37" t="s">
        <v>2</v>
      </c>
      <c r="C19" s="38"/>
      <c r="D19" s="38"/>
      <c r="E19" s="38"/>
      <c r="F19" s="38"/>
      <c r="G19" s="38"/>
      <c r="H19" s="39"/>
    </row>
    <row r="20" spans="1:8" ht="26.25" customHeight="1">
      <c r="A20" s="20" t="s">
        <v>3</v>
      </c>
      <c r="B20" s="40">
        <v>5</v>
      </c>
      <c r="C20" s="41"/>
      <c r="D20" s="41"/>
      <c r="E20" s="41"/>
      <c r="F20" s="41"/>
      <c r="G20" s="41"/>
      <c r="H20" s="42"/>
    </row>
    <row r="21" spans="1:8" ht="15" customHeight="1">
      <c r="A21" s="14"/>
      <c r="B21" s="14"/>
      <c r="C21" s="14"/>
      <c r="D21" s="14"/>
      <c r="E21" s="14"/>
      <c r="F21" s="14"/>
      <c r="G21" s="14"/>
      <c r="H21" s="14"/>
    </row>
    <row r="22" spans="1:8">
      <c r="A22" s="43" t="s">
        <v>4</v>
      </c>
      <c r="B22" s="44"/>
      <c r="C22" s="44"/>
      <c r="D22" s="44"/>
      <c r="E22" s="44"/>
      <c r="F22" s="44"/>
      <c r="G22" s="44"/>
      <c r="H22" s="45"/>
    </row>
    <row r="23" spans="1:8" ht="25.5" customHeight="1">
      <c r="A23" s="21" t="s">
        <v>5</v>
      </c>
      <c r="B23" s="46">
        <v>126</v>
      </c>
      <c r="C23" s="47"/>
      <c r="D23" s="47"/>
      <c r="E23" s="47"/>
      <c r="F23" s="47"/>
      <c r="G23" s="47"/>
      <c r="H23" s="48"/>
    </row>
    <row r="24" spans="1:8">
      <c r="A24" s="49" t="s">
        <v>6</v>
      </c>
      <c r="B24" s="52" t="s">
        <v>7</v>
      </c>
      <c r="C24" s="53"/>
      <c r="D24" s="53"/>
      <c r="E24" s="54"/>
      <c r="F24" s="46">
        <v>36</v>
      </c>
      <c r="G24" s="47"/>
      <c r="H24" s="48"/>
    </row>
    <row r="25" spans="1:8">
      <c r="A25" s="50"/>
      <c r="B25" s="55" t="s">
        <v>8</v>
      </c>
      <c r="C25" s="56"/>
      <c r="D25" s="56"/>
      <c r="E25" s="57"/>
      <c r="F25" s="58">
        <v>17</v>
      </c>
      <c r="G25" s="59"/>
      <c r="H25" s="60"/>
    </row>
    <row r="26" spans="1:8" ht="26.25" customHeight="1">
      <c r="A26" s="51"/>
      <c r="B26" s="52" t="s">
        <v>9</v>
      </c>
      <c r="C26" s="53"/>
      <c r="D26" s="53"/>
      <c r="E26" s="54"/>
      <c r="F26" s="46">
        <f>SUM(F24:H25)</f>
        <v>53</v>
      </c>
      <c r="G26" s="47"/>
      <c r="H26" s="48"/>
    </row>
    <row r="27" spans="1:8">
      <c r="A27" s="21" t="s">
        <v>10</v>
      </c>
      <c r="B27" s="61">
        <v>73</v>
      </c>
      <c r="C27" s="62"/>
      <c r="D27" s="62"/>
      <c r="E27" s="62"/>
      <c r="F27" s="62"/>
      <c r="G27" s="62"/>
      <c r="H27" s="63"/>
    </row>
    <row r="28" spans="1:8">
      <c r="A28" s="14"/>
      <c r="B28" s="14"/>
      <c r="C28" s="15"/>
      <c r="D28" s="14"/>
      <c r="E28" s="16"/>
      <c r="F28" s="14"/>
      <c r="G28" s="16"/>
      <c r="H28" s="14"/>
    </row>
    <row r="29" spans="1:8">
      <c r="A29" s="64" t="s">
        <v>11</v>
      </c>
      <c r="B29" s="64" t="s">
        <v>12</v>
      </c>
      <c r="C29" s="64" t="s">
        <v>13</v>
      </c>
      <c r="D29" s="66" t="s">
        <v>14</v>
      </c>
      <c r="E29" s="67"/>
      <c r="F29" s="68"/>
      <c r="G29" s="64" t="s">
        <v>15</v>
      </c>
    </row>
    <row r="30" spans="1:8">
      <c r="A30" s="65"/>
      <c r="B30" s="65"/>
      <c r="C30" s="65"/>
      <c r="D30" s="69"/>
      <c r="E30" s="70"/>
      <c r="F30" s="71"/>
      <c r="G30" s="65"/>
    </row>
    <row r="31" spans="1:8" ht="32.25" customHeight="1">
      <c r="A31" s="65"/>
      <c r="B31" s="65"/>
      <c r="C31" s="65"/>
      <c r="D31" s="22" t="s">
        <v>7</v>
      </c>
      <c r="E31" s="22" t="s">
        <v>8</v>
      </c>
      <c r="F31" s="22" t="s">
        <v>10</v>
      </c>
      <c r="G31" s="72"/>
    </row>
    <row r="32" spans="1:8" ht="43.5" customHeight="1">
      <c r="A32" s="17" t="s">
        <v>16</v>
      </c>
      <c r="B32" s="18" t="s">
        <v>17</v>
      </c>
      <c r="C32" s="18">
        <v>12</v>
      </c>
      <c r="D32" s="18">
        <v>8</v>
      </c>
      <c r="E32" s="18">
        <v>2</v>
      </c>
      <c r="F32" s="18">
        <v>2</v>
      </c>
      <c r="G32" s="18" t="s">
        <v>18</v>
      </c>
    </row>
    <row r="33" spans="1:7" ht="30.75" customHeight="1">
      <c r="A33" s="17" t="s">
        <v>19</v>
      </c>
      <c r="B33" s="18" t="s">
        <v>17</v>
      </c>
      <c r="C33" s="18">
        <v>5</v>
      </c>
      <c r="D33" s="18">
        <v>4</v>
      </c>
      <c r="E33" s="18">
        <v>0</v>
      </c>
      <c r="F33" s="18">
        <v>1</v>
      </c>
      <c r="G33" s="18" t="s">
        <v>20</v>
      </c>
    </row>
    <row r="34" spans="1:7" ht="43.5" customHeight="1">
      <c r="A34" s="17" t="s">
        <v>21</v>
      </c>
      <c r="B34" s="18" t="s">
        <v>17</v>
      </c>
      <c r="C34" s="18">
        <v>9</v>
      </c>
      <c r="D34" s="18">
        <v>3</v>
      </c>
      <c r="E34" s="18">
        <v>2</v>
      </c>
      <c r="F34" s="18">
        <v>4</v>
      </c>
      <c r="G34" s="18" t="s">
        <v>22</v>
      </c>
    </row>
    <row r="35" spans="1:7" ht="72" customHeight="1">
      <c r="A35" s="17" t="s">
        <v>23</v>
      </c>
      <c r="B35" s="18" t="s">
        <v>17</v>
      </c>
      <c r="C35" s="18">
        <v>15</v>
      </c>
      <c r="D35" s="18">
        <v>2</v>
      </c>
      <c r="E35" s="18">
        <v>6</v>
      </c>
      <c r="F35" s="18">
        <v>7</v>
      </c>
      <c r="G35" s="18" t="s">
        <v>24</v>
      </c>
    </row>
    <row r="36" spans="1:7" ht="57.75" customHeight="1">
      <c r="A36" s="17" t="s">
        <v>25</v>
      </c>
      <c r="B36" s="18" t="s">
        <v>17</v>
      </c>
      <c r="C36" s="18">
        <v>7</v>
      </c>
      <c r="D36" s="18">
        <v>3</v>
      </c>
      <c r="E36" s="18">
        <v>3</v>
      </c>
      <c r="F36" s="18">
        <v>1</v>
      </c>
      <c r="G36" s="18" t="s">
        <v>26</v>
      </c>
    </row>
    <row r="37" spans="1:7" ht="57.75" customHeight="1">
      <c r="A37" s="17" t="s">
        <v>27</v>
      </c>
      <c r="B37" s="18" t="s">
        <v>28</v>
      </c>
      <c r="C37" s="18">
        <v>14</v>
      </c>
      <c r="D37" s="18">
        <v>3</v>
      </c>
      <c r="E37" s="18">
        <v>3</v>
      </c>
      <c r="F37" s="18">
        <v>8</v>
      </c>
      <c r="G37" s="18" t="s">
        <v>29</v>
      </c>
    </row>
    <row r="38" spans="1:7" ht="57.75" customHeight="1">
      <c r="A38" s="17" t="s">
        <v>30</v>
      </c>
      <c r="B38" s="18" t="s">
        <v>17</v>
      </c>
      <c r="C38" s="18">
        <v>46</v>
      </c>
      <c r="D38" s="18">
        <v>9</v>
      </c>
      <c r="E38" s="18">
        <v>0</v>
      </c>
      <c r="F38" s="18">
        <v>37</v>
      </c>
      <c r="G38" s="18" t="s">
        <v>31</v>
      </c>
    </row>
    <row r="39" spans="1:7" ht="30.75" customHeight="1">
      <c r="A39" s="17" t="s">
        <v>32</v>
      </c>
      <c r="B39" s="18" t="s">
        <v>33</v>
      </c>
      <c r="C39" s="18">
        <v>5</v>
      </c>
      <c r="D39" s="18">
        <v>0</v>
      </c>
      <c r="E39" s="18">
        <v>0</v>
      </c>
      <c r="F39" s="18">
        <v>5</v>
      </c>
      <c r="G39" s="18" t="s">
        <v>34</v>
      </c>
    </row>
    <row r="40" spans="1:7" ht="43.5" customHeight="1">
      <c r="A40" s="17" t="s">
        <v>35</v>
      </c>
      <c r="B40" s="18" t="s">
        <v>17</v>
      </c>
      <c r="C40" s="18">
        <v>5</v>
      </c>
      <c r="D40" s="18">
        <v>4</v>
      </c>
      <c r="E40" s="18">
        <v>1</v>
      </c>
      <c r="F40" s="18">
        <v>0</v>
      </c>
      <c r="G40" s="18" t="s">
        <v>36</v>
      </c>
    </row>
    <row r="41" spans="1:7" ht="30.75" customHeight="1">
      <c r="A41" s="17" t="s">
        <v>37</v>
      </c>
      <c r="B41" s="18" t="s">
        <v>28</v>
      </c>
      <c r="C41" s="18">
        <v>8</v>
      </c>
      <c r="D41" s="18">
        <v>0</v>
      </c>
      <c r="E41" s="18">
        <v>0</v>
      </c>
      <c r="F41" s="18">
        <v>8</v>
      </c>
      <c r="G41" s="18" t="s">
        <v>38</v>
      </c>
    </row>
    <row r="42" spans="1:7" ht="15.75" customHeight="1">
      <c r="A42" s="17" t="s">
        <v>39</v>
      </c>
      <c r="B42" s="18"/>
      <c r="C42" s="17">
        <v>126</v>
      </c>
      <c r="D42" s="17">
        <v>36</v>
      </c>
      <c r="E42" s="17">
        <v>17</v>
      </c>
      <c r="F42" s="17">
        <v>73</v>
      </c>
      <c r="G42" s="9"/>
    </row>
  </sheetData>
  <mergeCells count="19">
    <mergeCell ref="B27:H27"/>
    <mergeCell ref="A29:A31"/>
    <mergeCell ref="B29:B31"/>
    <mergeCell ref="C29:C31"/>
    <mergeCell ref="D29:F30"/>
    <mergeCell ref="G29:G31"/>
    <mergeCell ref="B23:H23"/>
    <mergeCell ref="A24:A26"/>
    <mergeCell ref="B24:E24"/>
    <mergeCell ref="F24:H24"/>
    <mergeCell ref="B25:E25"/>
    <mergeCell ref="F25:H25"/>
    <mergeCell ref="B26:E26"/>
    <mergeCell ref="F26:H26"/>
    <mergeCell ref="A1:E1"/>
    <mergeCell ref="A18:H18"/>
    <mergeCell ref="B19:H19"/>
    <mergeCell ref="B20:H20"/>
    <mergeCell ref="A22:H2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20E5D-E03C-42A6-9BCB-452F0B205392}">
  <dimension ref="A1:I36"/>
  <sheetViews>
    <sheetView topLeftCell="A36" workbookViewId="0">
      <selection activeCell="D6" sqref="D6"/>
    </sheetView>
  </sheetViews>
  <sheetFormatPr defaultRowHeight="14.25"/>
  <cols>
    <col min="1" max="1" width="6.375" customWidth="1"/>
    <col min="2" max="2" width="19.875" customWidth="1"/>
    <col min="3" max="3" width="16.375" customWidth="1"/>
    <col min="4" max="4" width="31.25" customWidth="1"/>
    <col min="5" max="5" width="39.75" customWidth="1"/>
    <col min="6" max="8" width="16.375" customWidth="1"/>
    <col min="9" max="9" width="28.125" customWidth="1"/>
  </cols>
  <sheetData>
    <row r="1" spans="1:9" ht="29.25" customHeight="1">
      <c r="A1" s="23" t="s">
        <v>40</v>
      </c>
      <c r="B1" s="23" t="s">
        <v>41</v>
      </c>
      <c r="C1" s="23" t="s">
        <v>42</v>
      </c>
      <c r="D1" s="23" t="s">
        <v>43</v>
      </c>
      <c r="E1" s="23" t="s">
        <v>44</v>
      </c>
      <c r="F1" s="23" t="s">
        <v>45</v>
      </c>
      <c r="G1" s="23" t="s">
        <v>46</v>
      </c>
      <c r="H1" s="23" t="s">
        <v>47</v>
      </c>
      <c r="I1" s="23" t="s">
        <v>15</v>
      </c>
    </row>
    <row r="2" spans="1:9" ht="29.25" customHeight="1">
      <c r="A2" s="11">
        <v>1</v>
      </c>
      <c r="B2" s="24" t="s">
        <v>48</v>
      </c>
      <c r="C2" s="24" t="s">
        <v>49</v>
      </c>
      <c r="D2" s="11" t="s">
        <v>50</v>
      </c>
      <c r="E2" s="11" t="s">
        <v>51</v>
      </c>
      <c r="F2" s="11" t="s">
        <v>52</v>
      </c>
      <c r="G2" s="11" t="s">
        <v>17</v>
      </c>
      <c r="H2" s="11">
        <v>12</v>
      </c>
      <c r="I2" s="11" t="s">
        <v>53</v>
      </c>
    </row>
    <row r="3" spans="1:9" ht="57.75" customHeight="1">
      <c r="A3" s="11">
        <v>2</v>
      </c>
      <c r="B3" s="11" t="s">
        <v>54</v>
      </c>
      <c r="C3" s="11" t="s">
        <v>55</v>
      </c>
      <c r="D3" s="11" t="s">
        <v>56</v>
      </c>
      <c r="E3" s="11" t="s">
        <v>57</v>
      </c>
      <c r="F3" s="11" t="s">
        <v>52</v>
      </c>
      <c r="G3" s="11" t="s">
        <v>17</v>
      </c>
      <c r="H3" s="11">
        <v>6</v>
      </c>
      <c r="I3" s="11" t="s">
        <v>58</v>
      </c>
    </row>
    <row r="4" spans="1:9" ht="43.5" customHeight="1">
      <c r="A4" s="11">
        <v>3</v>
      </c>
      <c r="B4" s="11" t="s">
        <v>59</v>
      </c>
      <c r="C4" s="11" t="s">
        <v>60</v>
      </c>
      <c r="D4" s="11" t="s">
        <v>61</v>
      </c>
      <c r="E4" s="11" t="s">
        <v>62</v>
      </c>
      <c r="F4" s="11" t="s">
        <v>52</v>
      </c>
      <c r="G4" s="11" t="s">
        <v>17</v>
      </c>
      <c r="H4" s="11">
        <v>4</v>
      </c>
      <c r="I4" s="11"/>
    </row>
    <row r="5" spans="1:9" ht="43.5" customHeight="1">
      <c r="A5" s="11">
        <v>4</v>
      </c>
      <c r="B5" s="11" t="s">
        <v>63</v>
      </c>
      <c r="C5" s="11" t="s">
        <v>64</v>
      </c>
      <c r="D5" s="11" t="s">
        <v>65</v>
      </c>
      <c r="E5" s="11" t="s">
        <v>66</v>
      </c>
      <c r="F5" s="11" t="s">
        <v>67</v>
      </c>
      <c r="G5" s="11" t="s">
        <v>17</v>
      </c>
      <c r="H5" s="11">
        <v>1</v>
      </c>
      <c r="I5" s="11"/>
    </row>
    <row r="6" spans="1:9" ht="43.5" customHeight="1">
      <c r="A6" s="11">
        <v>5</v>
      </c>
      <c r="B6" s="11" t="s">
        <v>68</v>
      </c>
      <c r="C6" s="11" t="s">
        <v>69</v>
      </c>
      <c r="D6" s="11" t="s">
        <v>70</v>
      </c>
      <c r="E6" s="11" t="s">
        <v>71</v>
      </c>
      <c r="F6" s="11" t="s">
        <v>67</v>
      </c>
      <c r="G6" s="11" t="s">
        <v>17</v>
      </c>
      <c r="H6" s="11">
        <v>1</v>
      </c>
      <c r="I6" s="11"/>
    </row>
    <row r="7" spans="1:9" ht="29.25" customHeight="1">
      <c r="A7" s="11">
        <v>6</v>
      </c>
      <c r="B7" s="24" t="s">
        <v>72</v>
      </c>
      <c r="C7" s="24" t="s">
        <v>73</v>
      </c>
      <c r="D7" s="11" t="s">
        <v>74</v>
      </c>
      <c r="E7" s="11" t="s">
        <v>75</v>
      </c>
      <c r="F7" s="11" t="s">
        <v>67</v>
      </c>
      <c r="G7" s="11" t="s">
        <v>17</v>
      </c>
      <c r="H7" s="11">
        <v>5</v>
      </c>
      <c r="I7" s="11" t="s">
        <v>76</v>
      </c>
    </row>
    <row r="8" spans="1:9" ht="43.5" customHeight="1">
      <c r="A8" s="11">
        <v>7</v>
      </c>
      <c r="B8" s="11" t="s">
        <v>77</v>
      </c>
      <c r="C8" s="11" t="s">
        <v>78</v>
      </c>
      <c r="D8" s="11" t="s">
        <v>79</v>
      </c>
      <c r="E8" s="11" t="s">
        <v>80</v>
      </c>
      <c r="F8" s="11" t="s">
        <v>67</v>
      </c>
      <c r="G8" s="11" t="s">
        <v>17</v>
      </c>
      <c r="H8" s="11">
        <v>4</v>
      </c>
      <c r="I8" s="11"/>
    </row>
    <row r="9" spans="1:9" ht="57.75" customHeight="1">
      <c r="A9" s="11">
        <v>8</v>
      </c>
      <c r="B9" s="11" t="s">
        <v>81</v>
      </c>
      <c r="C9" s="11" t="s">
        <v>82</v>
      </c>
      <c r="D9" s="11" t="s">
        <v>83</v>
      </c>
      <c r="E9" s="11" t="s">
        <v>84</v>
      </c>
      <c r="F9" s="11" t="s">
        <v>67</v>
      </c>
      <c r="G9" s="11" t="s">
        <v>17</v>
      </c>
      <c r="H9" s="11">
        <v>1</v>
      </c>
      <c r="I9" s="11"/>
    </row>
    <row r="10" spans="1:9" ht="29.25" customHeight="1">
      <c r="A10" s="11">
        <v>9</v>
      </c>
      <c r="B10" s="24" t="s">
        <v>85</v>
      </c>
      <c r="C10" s="24" t="s">
        <v>86</v>
      </c>
      <c r="D10" s="11" t="s">
        <v>87</v>
      </c>
      <c r="E10" s="11" t="s">
        <v>88</v>
      </c>
      <c r="F10" s="11" t="s">
        <v>67</v>
      </c>
      <c r="G10" s="11" t="s">
        <v>17</v>
      </c>
      <c r="H10" s="11">
        <v>9</v>
      </c>
      <c r="I10" s="11" t="s">
        <v>89</v>
      </c>
    </row>
    <row r="11" spans="1:9" ht="43.5" customHeight="1">
      <c r="A11" s="11">
        <v>10</v>
      </c>
      <c r="B11" s="11" t="s">
        <v>90</v>
      </c>
      <c r="C11" s="11" t="s">
        <v>91</v>
      </c>
      <c r="D11" s="11" t="s">
        <v>92</v>
      </c>
      <c r="E11" s="11" t="s">
        <v>93</v>
      </c>
      <c r="F11" s="11" t="s">
        <v>67</v>
      </c>
      <c r="G11" s="11" t="s">
        <v>28</v>
      </c>
      <c r="H11" s="11">
        <v>3</v>
      </c>
      <c r="I11" s="11" t="s">
        <v>94</v>
      </c>
    </row>
    <row r="12" spans="1:9" ht="43.5" customHeight="1">
      <c r="A12" s="11">
        <v>11</v>
      </c>
      <c r="B12" s="11" t="s">
        <v>95</v>
      </c>
      <c r="C12" s="11" t="s">
        <v>96</v>
      </c>
      <c r="D12" s="11" t="s">
        <v>97</v>
      </c>
      <c r="E12" s="11" t="s">
        <v>98</v>
      </c>
      <c r="F12" s="11" t="s">
        <v>67</v>
      </c>
      <c r="G12" s="11" t="s">
        <v>17</v>
      </c>
      <c r="H12" s="11">
        <v>6</v>
      </c>
      <c r="I12" s="11" t="s">
        <v>99</v>
      </c>
    </row>
    <row r="13" spans="1:9" ht="29.25" customHeight="1">
      <c r="A13" s="11">
        <v>12</v>
      </c>
      <c r="B13" s="24" t="s">
        <v>100</v>
      </c>
      <c r="C13" s="24" t="s">
        <v>101</v>
      </c>
      <c r="D13" s="11" t="s">
        <v>102</v>
      </c>
      <c r="E13" s="11" t="s">
        <v>103</v>
      </c>
      <c r="F13" s="11" t="s">
        <v>52</v>
      </c>
      <c r="G13" s="11" t="s">
        <v>17</v>
      </c>
      <c r="H13" s="11">
        <v>15</v>
      </c>
      <c r="I13" s="11" t="s">
        <v>104</v>
      </c>
    </row>
    <row r="14" spans="1:9" ht="57.75" customHeight="1">
      <c r="A14" s="11">
        <v>13</v>
      </c>
      <c r="B14" s="11" t="s">
        <v>105</v>
      </c>
      <c r="C14" s="11" t="s">
        <v>106</v>
      </c>
      <c r="D14" s="11" t="s">
        <v>107</v>
      </c>
      <c r="E14" s="11" t="s">
        <v>108</v>
      </c>
      <c r="F14" s="11" t="s">
        <v>67</v>
      </c>
      <c r="G14" s="11" t="s">
        <v>17</v>
      </c>
      <c r="H14" s="11">
        <v>6</v>
      </c>
      <c r="I14" s="11" t="s">
        <v>109</v>
      </c>
    </row>
    <row r="15" spans="1:9" ht="43.5" customHeight="1">
      <c r="A15" s="11">
        <v>14</v>
      </c>
      <c r="B15" s="11" t="s">
        <v>110</v>
      </c>
      <c r="C15" s="11" t="s">
        <v>111</v>
      </c>
      <c r="D15" s="11" t="s">
        <v>112</v>
      </c>
      <c r="E15" s="11" t="s">
        <v>113</v>
      </c>
      <c r="F15" s="11" t="s">
        <v>52</v>
      </c>
      <c r="G15" s="11" t="s">
        <v>17</v>
      </c>
      <c r="H15" s="11">
        <v>9</v>
      </c>
      <c r="I15" s="11" t="s">
        <v>114</v>
      </c>
    </row>
    <row r="16" spans="1:9" ht="29.25" customHeight="1">
      <c r="A16" s="11">
        <v>15</v>
      </c>
      <c r="B16" s="24" t="s">
        <v>115</v>
      </c>
      <c r="C16" s="24" t="s">
        <v>116</v>
      </c>
      <c r="D16" s="11" t="s">
        <v>117</v>
      </c>
      <c r="E16" s="11" t="s">
        <v>118</v>
      </c>
      <c r="F16" s="11" t="s">
        <v>67</v>
      </c>
      <c r="G16" s="11" t="s">
        <v>17</v>
      </c>
      <c r="H16" s="11">
        <v>7</v>
      </c>
      <c r="I16" s="11" t="s">
        <v>119</v>
      </c>
    </row>
    <row r="17" spans="1:9" ht="57.75" customHeight="1">
      <c r="A17" s="11">
        <v>16</v>
      </c>
      <c r="B17" s="11" t="s">
        <v>120</v>
      </c>
      <c r="C17" s="11" t="s">
        <v>121</v>
      </c>
      <c r="D17" s="11" t="s">
        <v>122</v>
      </c>
      <c r="E17" s="11" t="s">
        <v>123</v>
      </c>
      <c r="F17" s="11" t="s">
        <v>67</v>
      </c>
      <c r="G17" s="11" t="s">
        <v>17</v>
      </c>
      <c r="H17" s="11">
        <v>6</v>
      </c>
      <c r="I17" s="11"/>
    </row>
    <row r="18" spans="1:9" ht="43.5" customHeight="1">
      <c r="A18" s="11">
        <v>17</v>
      </c>
      <c r="B18" s="11" t="s">
        <v>124</v>
      </c>
      <c r="C18" s="11" t="s">
        <v>125</v>
      </c>
      <c r="D18" s="11" t="s">
        <v>126</v>
      </c>
      <c r="E18" s="11" t="s">
        <v>127</v>
      </c>
      <c r="F18" s="11" t="s">
        <v>67</v>
      </c>
      <c r="G18" s="11" t="s">
        <v>17</v>
      </c>
      <c r="H18" s="11">
        <v>1</v>
      </c>
      <c r="I18" s="11"/>
    </row>
    <row r="19" spans="1:9" ht="29.25" customHeight="1">
      <c r="A19" s="11">
        <v>18</v>
      </c>
      <c r="B19" s="24" t="s">
        <v>128</v>
      </c>
      <c r="C19" s="24" t="s">
        <v>129</v>
      </c>
      <c r="D19" s="11" t="s">
        <v>130</v>
      </c>
      <c r="E19" s="11" t="s">
        <v>131</v>
      </c>
      <c r="F19" s="11" t="s">
        <v>67</v>
      </c>
      <c r="G19" s="11" t="s">
        <v>28</v>
      </c>
      <c r="H19" s="11">
        <v>14</v>
      </c>
      <c r="I19" s="11" t="s">
        <v>132</v>
      </c>
    </row>
    <row r="20" spans="1:9" ht="29.25" customHeight="1">
      <c r="A20" s="11">
        <v>19</v>
      </c>
      <c r="B20" s="11" t="s">
        <v>133</v>
      </c>
      <c r="C20" s="11" t="s">
        <v>134</v>
      </c>
      <c r="D20" s="11" t="s">
        <v>135</v>
      </c>
      <c r="E20" s="11" t="s">
        <v>136</v>
      </c>
      <c r="F20" s="11" t="s">
        <v>67</v>
      </c>
      <c r="G20" s="11" t="s">
        <v>28</v>
      </c>
      <c r="H20" s="11">
        <v>4</v>
      </c>
      <c r="I20" s="11" t="s">
        <v>137</v>
      </c>
    </row>
    <row r="21" spans="1:9" ht="43.5" customHeight="1">
      <c r="A21" s="11">
        <v>20</v>
      </c>
      <c r="B21" s="11" t="s">
        <v>138</v>
      </c>
      <c r="C21" s="11" t="s">
        <v>139</v>
      </c>
      <c r="D21" s="11" t="s">
        <v>140</v>
      </c>
      <c r="E21" s="11" t="s">
        <v>141</v>
      </c>
      <c r="F21" s="11" t="s">
        <v>67</v>
      </c>
      <c r="G21" s="11" t="s">
        <v>28</v>
      </c>
      <c r="H21" s="11">
        <v>3</v>
      </c>
      <c r="I21" s="11"/>
    </row>
    <row r="22" spans="1:9" ht="43.5" customHeight="1">
      <c r="A22" s="11">
        <v>21</v>
      </c>
      <c r="B22" s="11" t="s">
        <v>142</v>
      </c>
      <c r="C22" s="11" t="s">
        <v>143</v>
      </c>
      <c r="D22" s="11" t="s">
        <v>144</v>
      </c>
      <c r="E22" s="11" t="s">
        <v>145</v>
      </c>
      <c r="F22" s="11" t="s">
        <v>67</v>
      </c>
      <c r="G22" s="11" t="s">
        <v>28</v>
      </c>
      <c r="H22" s="11">
        <v>3</v>
      </c>
      <c r="I22" s="11" t="s">
        <v>146</v>
      </c>
    </row>
    <row r="23" spans="1:9" ht="29.25" customHeight="1">
      <c r="A23" s="11">
        <v>22</v>
      </c>
      <c r="B23" s="11" t="s">
        <v>147</v>
      </c>
      <c r="C23" s="11" t="s">
        <v>148</v>
      </c>
      <c r="D23" s="11" t="s">
        <v>149</v>
      </c>
      <c r="E23" s="11" t="s">
        <v>150</v>
      </c>
      <c r="F23" s="11" t="s">
        <v>67</v>
      </c>
      <c r="G23" s="11" t="s">
        <v>28</v>
      </c>
      <c r="H23" s="11">
        <v>4</v>
      </c>
      <c r="I23" s="11" t="s">
        <v>151</v>
      </c>
    </row>
    <row r="24" spans="1:9" ht="43.5" customHeight="1">
      <c r="A24" s="11">
        <v>23</v>
      </c>
      <c r="B24" s="24" t="s">
        <v>152</v>
      </c>
      <c r="C24" s="24" t="s">
        <v>153</v>
      </c>
      <c r="D24" s="11" t="s">
        <v>154</v>
      </c>
      <c r="E24" s="11" t="s">
        <v>155</v>
      </c>
      <c r="F24" s="11" t="s">
        <v>156</v>
      </c>
      <c r="G24" s="11" t="s">
        <v>17</v>
      </c>
      <c r="H24" s="11">
        <v>45</v>
      </c>
      <c r="I24" s="11" t="s">
        <v>157</v>
      </c>
    </row>
    <row r="25" spans="1:9" ht="29.25" customHeight="1">
      <c r="A25" s="11">
        <v>24</v>
      </c>
      <c r="B25" s="11" t="s">
        <v>158</v>
      </c>
      <c r="C25" s="11" t="s">
        <v>159</v>
      </c>
      <c r="D25" s="11" t="s">
        <v>160</v>
      </c>
      <c r="E25" s="11" t="s">
        <v>161</v>
      </c>
      <c r="F25" s="11" t="s">
        <v>52</v>
      </c>
      <c r="G25" s="11" t="s">
        <v>17</v>
      </c>
      <c r="H25" s="11">
        <v>6</v>
      </c>
      <c r="I25" s="11" t="s">
        <v>162</v>
      </c>
    </row>
    <row r="26" spans="1:9" ht="43.5" customHeight="1">
      <c r="A26" s="11">
        <v>25</v>
      </c>
      <c r="B26" s="11" t="s">
        <v>163</v>
      </c>
      <c r="C26" s="11" t="s">
        <v>164</v>
      </c>
      <c r="D26" s="11" t="s">
        <v>165</v>
      </c>
      <c r="E26" s="11" t="s">
        <v>166</v>
      </c>
      <c r="F26" s="11" t="s">
        <v>167</v>
      </c>
      <c r="G26" s="11" t="s">
        <v>17</v>
      </c>
      <c r="H26" s="11">
        <v>17</v>
      </c>
      <c r="I26" s="11" t="s">
        <v>168</v>
      </c>
    </row>
    <row r="27" spans="1:9" ht="43.5" customHeight="1">
      <c r="A27" s="11">
        <v>26</v>
      </c>
      <c r="B27" s="11" t="s">
        <v>169</v>
      </c>
      <c r="C27" s="11" t="s">
        <v>170</v>
      </c>
      <c r="D27" s="11" t="s">
        <v>171</v>
      </c>
      <c r="E27" s="11" t="s">
        <v>172</v>
      </c>
      <c r="F27" s="11" t="s">
        <v>67</v>
      </c>
      <c r="G27" s="11" t="s">
        <v>17</v>
      </c>
      <c r="H27" s="11">
        <v>22</v>
      </c>
      <c r="I27" s="11" t="s">
        <v>173</v>
      </c>
    </row>
    <row r="28" spans="1:9" ht="29.25" customHeight="1">
      <c r="A28" s="11">
        <v>27</v>
      </c>
      <c r="B28" s="24" t="s">
        <v>174</v>
      </c>
      <c r="C28" s="24" t="s">
        <v>175</v>
      </c>
      <c r="D28" s="11" t="s">
        <v>176</v>
      </c>
      <c r="E28" s="11" t="s">
        <v>177</v>
      </c>
      <c r="F28" s="11" t="s">
        <v>67</v>
      </c>
      <c r="G28" s="11" t="s">
        <v>33</v>
      </c>
      <c r="H28" s="11">
        <v>5</v>
      </c>
      <c r="I28" s="11"/>
    </row>
    <row r="29" spans="1:9" ht="29.25" customHeight="1">
      <c r="A29" s="11">
        <v>28</v>
      </c>
      <c r="B29" s="11" t="s">
        <v>178</v>
      </c>
      <c r="C29" s="11" t="s">
        <v>179</v>
      </c>
      <c r="D29" s="11" t="s">
        <v>180</v>
      </c>
      <c r="E29" s="11" t="s">
        <v>181</v>
      </c>
      <c r="F29" s="11" t="s">
        <v>67</v>
      </c>
      <c r="G29" s="11" t="s">
        <v>33</v>
      </c>
      <c r="H29" s="11">
        <v>3</v>
      </c>
      <c r="I29" s="11"/>
    </row>
    <row r="30" spans="1:9" ht="43.5" customHeight="1">
      <c r="A30" s="11">
        <v>29</v>
      </c>
      <c r="B30" s="11" t="s">
        <v>182</v>
      </c>
      <c r="C30" s="11" t="s">
        <v>183</v>
      </c>
      <c r="D30" s="11" t="s">
        <v>184</v>
      </c>
      <c r="E30" s="11" t="s">
        <v>185</v>
      </c>
      <c r="F30" s="11" t="s">
        <v>67</v>
      </c>
      <c r="G30" s="11" t="s">
        <v>33</v>
      </c>
      <c r="H30" s="11">
        <v>2</v>
      </c>
      <c r="I30" s="11"/>
    </row>
    <row r="31" spans="1:9" ht="29.25" customHeight="1">
      <c r="A31" s="11">
        <v>30</v>
      </c>
      <c r="B31" s="24" t="s">
        <v>186</v>
      </c>
      <c r="C31" s="24" t="s">
        <v>187</v>
      </c>
      <c r="D31" s="11" t="s">
        <v>188</v>
      </c>
      <c r="E31" s="11" t="s">
        <v>189</v>
      </c>
      <c r="F31" s="11" t="s">
        <v>67</v>
      </c>
      <c r="G31" s="11" t="s">
        <v>17</v>
      </c>
      <c r="H31" s="11">
        <v>5</v>
      </c>
      <c r="I31" s="11"/>
    </row>
    <row r="32" spans="1:9" ht="57.75" customHeight="1">
      <c r="A32" s="11">
        <v>31</v>
      </c>
      <c r="B32" s="11" t="s">
        <v>190</v>
      </c>
      <c r="C32" s="11" t="s">
        <v>191</v>
      </c>
      <c r="D32" s="11" t="s">
        <v>192</v>
      </c>
      <c r="E32" s="11" t="s">
        <v>193</v>
      </c>
      <c r="F32" s="11" t="s">
        <v>67</v>
      </c>
      <c r="G32" s="11" t="s">
        <v>17</v>
      </c>
      <c r="H32" s="11">
        <v>2</v>
      </c>
      <c r="I32" s="11"/>
    </row>
    <row r="33" spans="1:9" ht="57.75" customHeight="1">
      <c r="A33" s="11">
        <v>32</v>
      </c>
      <c r="B33" s="11" t="s">
        <v>194</v>
      </c>
      <c r="C33" s="11" t="s">
        <v>195</v>
      </c>
      <c r="D33" s="11" t="s">
        <v>196</v>
      </c>
      <c r="E33" s="11" t="s">
        <v>197</v>
      </c>
      <c r="F33" s="11" t="s">
        <v>67</v>
      </c>
      <c r="G33" s="11" t="s">
        <v>17</v>
      </c>
      <c r="H33" s="11">
        <v>3</v>
      </c>
      <c r="I33" s="11" t="s">
        <v>198</v>
      </c>
    </row>
    <row r="34" spans="1:9" ht="29.25" customHeight="1">
      <c r="A34" s="11">
        <v>33</v>
      </c>
      <c r="B34" s="24" t="s">
        <v>199</v>
      </c>
      <c r="C34" s="24" t="s">
        <v>200</v>
      </c>
      <c r="D34" s="11" t="s">
        <v>201</v>
      </c>
      <c r="E34" s="11" t="s">
        <v>202</v>
      </c>
      <c r="F34" s="11" t="s">
        <v>203</v>
      </c>
      <c r="G34" s="11" t="s">
        <v>28</v>
      </c>
      <c r="H34" s="11">
        <v>9</v>
      </c>
      <c r="I34" s="11" t="s">
        <v>204</v>
      </c>
    </row>
    <row r="35" spans="1:9" ht="43.5" customHeight="1">
      <c r="A35" s="11">
        <v>34</v>
      </c>
      <c r="B35" s="11" t="s">
        <v>205</v>
      </c>
      <c r="C35" s="11" t="s">
        <v>206</v>
      </c>
      <c r="D35" s="11" t="s">
        <v>207</v>
      </c>
      <c r="E35" s="11" t="s">
        <v>208</v>
      </c>
      <c r="F35" s="11" t="s">
        <v>209</v>
      </c>
      <c r="G35" s="11" t="s">
        <v>28</v>
      </c>
      <c r="H35" s="11">
        <v>4</v>
      </c>
      <c r="I35" s="11"/>
    </row>
    <row r="36" spans="1:9" ht="43.5" customHeight="1">
      <c r="A36" s="11">
        <v>35</v>
      </c>
      <c r="B36" s="11" t="s">
        <v>210</v>
      </c>
      <c r="C36" s="11" t="s">
        <v>211</v>
      </c>
      <c r="D36" s="11" t="s">
        <v>212</v>
      </c>
      <c r="E36" s="11" t="s">
        <v>213</v>
      </c>
      <c r="F36" s="11" t="s">
        <v>214</v>
      </c>
      <c r="G36" s="11" t="s">
        <v>28</v>
      </c>
      <c r="H36" s="11">
        <v>5</v>
      </c>
      <c r="I36" s="11" t="s">
        <v>215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7CF74-74F7-44FF-8D8B-139D07D7C763}">
  <dimension ref="A1:H1000"/>
  <sheetViews>
    <sheetView workbookViewId="0">
      <selection activeCell="C8" sqref="C8"/>
    </sheetView>
  </sheetViews>
  <sheetFormatPr defaultRowHeight="14.25"/>
  <cols>
    <col min="1" max="1" width="6" customWidth="1"/>
    <col min="2" max="3" width="25" customWidth="1"/>
    <col min="4" max="4" width="20.25" customWidth="1"/>
    <col min="5" max="5" width="65.625" customWidth="1"/>
    <col min="6" max="6" width="38.875" customWidth="1"/>
    <col min="7" max="7" width="13.875" customWidth="1"/>
    <col min="8" max="8" width="32" customWidth="1"/>
  </cols>
  <sheetData>
    <row r="1" spans="1:8" ht="34.5" customHeight="1">
      <c r="A1" s="25" t="s">
        <v>40</v>
      </c>
      <c r="B1" s="25" t="s">
        <v>216</v>
      </c>
      <c r="C1" s="25" t="s">
        <v>217</v>
      </c>
      <c r="D1" s="25" t="s">
        <v>218</v>
      </c>
      <c r="E1" s="25" t="s">
        <v>219</v>
      </c>
      <c r="F1" s="25" t="s">
        <v>220</v>
      </c>
      <c r="G1" s="25" t="s">
        <v>221</v>
      </c>
      <c r="H1" s="25" t="s">
        <v>222</v>
      </c>
    </row>
    <row r="2" spans="1:8" ht="30.75" customHeight="1">
      <c r="A2" s="1">
        <v>1</v>
      </c>
      <c r="B2" s="73" t="s">
        <v>16</v>
      </c>
      <c r="C2" s="2" t="s">
        <v>54</v>
      </c>
      <c r="D2" s="2" t="s">
        <v>223</v>
      </c>
      <c r="E2" s="2" t="s">
        <v>224</v>
      </c>
      <c r="F2" s="2" t="s">
        <v>225</v>
      </c>
      <c r="G2" s="2" t="s">
        <v>226</v>
      </c>
      <c r="H2" s="2"/>
    </row>
    <row r="3" spans="1:8" ht="30.75" customHeight="1">
      <c r="A3" s="1">
        <v>2</v>
      </c>
      <c r="B3" s="74"/>
      <c r="C3" s="2" t="s">
        <v>54</v>
      </c>
      <c r="D3" s="2" t="s">
        <v>227</v>
      </c>
      <c r="E3" s="2" t="s">
        <v>228</v>
      </c>
      <c r="F3" s="2" t="s">
        <v>229</v>
      </c>
      <c r="G3" s="2" t="s">
        <v>226</v>
      </c>
      <c r="H3" s="2"/>
    </row>
    <row r="4" spans="1:8" ht="30.75" customHeight="1">
      <c r="A4" s="1">
        <v>3</v>
      </c>
      <c r="B4" s="74"/>
      <c r="C4" s="2" t="s">
        <v>54</v>
      </c>
      <c r="D4" s="2" t="s">
        <v>230</v>
      </c>
      <c r="E4" s="2" t="s">
        <v>231</v>
      </c>
      <c r="F4" s="2" t="s">
        <v>232</v>
      </c>
      <c r="G4" s="2" t="s">
        <v>226</v>
      </c>
      <c r="H4" s="2" t="s">
        <v>233</v>
      </c>
    </row>
    <row r="5" spans="1:8" ht="30.75" customHeight="1">
      <c r="A5" s="1">
        <v>4</v>
      </c>
      <c r="B5" s="74"/>
      <c r="C5" s="2" t="s">
        <v>54</v>
      </c>
      <c r="D5" s="2" t="s">
        <v>234</v>
      </c>
      <c r="E5" s="2" t="s">
        <v>235</v>
      </c>
      <c r="F5" s="2" t="s">
        <v>236</v>
      </c>
      <c r="G5" s="2" t="s">
        <v>226</v>
      </c>
      <c r="H5" s="2"/>
    </row>
    <row r="6" spans="1:8" ht="30.75" customHeight="1">
      <c r="A6" s="1">
        <v>5</v>
      </c>
      <c r="B6" s="74"/>
      <c r="C6" s="2" t="s">
        <v>59</v>
      </c>
      <c r="D6" s="2" t="s">
        <v>237</v>
      </c>
      <c r="E6" s="2" t="s">
        <v>238</v>
      </c>
      <c r="F6" s="2" t="s">
        <v>239</v>
      </c>
      <c r="G6" s="2" t="s">
        <v>226</v>
      </c>
      <c r="H6" s="2"/>
    </row>
    <row r="7" spans="1:8" ht="30.75" customHeight="1">
      <c r="A7" s="1">
        <v>6</v>
      </c>
      <c r="B7" s="74"/>
      <c r="C7" s="2" t="s">
        <v>59</v>
      </c>
      <c r="D7" s="2" t="s">
        <v>240</v>
      </c>
      <c r="E7" s="2" t="s">
        <v>241</v>
      </c>
      <c r="F7" s="2" t="s">
        <v>242</v>
      </c>
      <c r="G7" s="2" t="s">
        <v>226</v>
      </c>
      <c r="H7" s="2"/>
    </row>
    <row r="8" spans="1:8" ht="30.75" customHeight="1">
      <c r="A8" s="1">
        <v>7</v>
      </c>
      <c r="B8" s="75"/>
      <c r="C8" s="2" t="s">
        <v>243</v>
      </c>
      <c r="D8" s="2" t="s">
        <v>244</v>
      </c>
      <c r="E8" s="2" t="s">
        <v>245</v>
      </c>
      <c r="F8" s="2" t="s">
        <v>246</v>
      </c>
      <c r="G8" s="2" t="s">
        <v>226</v>
      </c>
      <c r="H8" s="2"/>
    </row>
    <row r="9" spans="1:8" ht="30.75" customHeight="1">
      <c r="A9" s="1">
        <v>8</v>
      </c>
      <c r="B9" s="73" t="s">
        <v>19</v>
      </c>
      <c r="C9" s="2" t="s">
        <v>77</v>
      </c>
      <c r="D9" s="2" t="s">
        <v>247</v>
      </c>
      <c r="E9" s="2" t="s">
        <v>248</v>
      </c>
      <c r="F9" s="2" t="s">
        <v>249</v>
      </c>
      <c r="G9" s="2" t="s">
        <v>226</v>
      </c>
      <c r="H9" s="2"/>
    </row>
    <row r="10" spans="1:8" ht="30.75" customHeight="1">
      <c r="A10" s="1">
        <v>9</v>
      </c>
      <c r="B10" s="74"/>
      <c r="C10" s="2" t="s">
        <v>77</v>
      </c>
      <c r="D10" s="2" t="s">
        <v>250</v>
      </c>
      <c r="E10" s="2" t="s">
        <v>251</v>
      </c>
      <c r="F10" s="2" t="s">
        <v>252</v>
      </c>
      <c r="G10" s="2" t="s">
        <v>226</v>
      </c>
      <c r="H10" s="2"/>
    </row>
    <row r="11" spans="1:8" ht="30.75" customHeight="1">
      <c r="A11" s="1">
        <v>10</v>
      </c>
      <c r="B11" s="75"/>
      <c r="C11" s="2" t="s">
        <v>81</v>
      </c>
      <c r="D11" s="2" t="s">
        <v>253</v>
      </c>
      <c r="E11" s="2" t="s">
        <v>254</v>
      </c>
      <c r="F11" s="2" t="s">
        <v>255</v>
      </c>
      <c r="G11" s="2" t="s">
        <v>226</v>
      </c>
      <c r="H11" s="2"/>
    </row>
    <row r="12" spans="1:8" ht="30.75" customHeight="1">
      <c r="A12" s="1">
        <v>11</v>
      </c>
      <c r="B12" s="73" t="s">
        <v>21</v>
      </c>
      <c r="C12" s="2" t="s">
        <v>95</v>
      </c>
      <c r="D12" s="2" t="s">
        <v>256</v>
      </c>
      <c r="E12" s="2" t="s">
        <v>257</v>
      </c>
      <c r="F12" s="2" t="s">
        <v>258</v>
      </c>
      <c r="G12" s="2" t="s">
        <v>226</v>
      </c>
      <c r="H12" s="2"/>
    </row>
    <row r="13" spans="1:8" ht="30.75" customHeight="1">
      <c r="A13" s="1">
        <v>12</v>
      </c>
      <c r="B13" s="74"/>
      <c r="C13" s="2" t="s">
        <v>95</v>
      </c>
      <c r="D13" s="2" t="s">
        <v>259</v>
      </c>
      <c r="E13" s="2" t="s">
        <v>260</v>
      </c>
      <c r="F13" s="2" t="s">
        <v>261</v>
      </c>
      <c r="G13" s="2" t="s">
        <v>226</v>
      </c>
      <c r="H13" s="2" t="s">
        <v>262</v>
      </c>
    </row>
    <row r="14" spans="1:8" ht="30.75" customHeight="1">
      <c r="A14" s="1">
        <v>13</v>
      </c>
      <c r="B14" s="75"/>
      <c r="C14" s="2" t="s">
        <v>90</v>
      </c>
      <c r="D14" s="2" t="s">
        <v>263</v>
      </c>
      <c r="E14" s="2" t="s">
        <v>264</v>
      </c>
      <c r="F14" s="2" t="s">
        <v>265</v>
      </c>
      <c r="G14" s="2" t="s">
        <v>226</v>
      </c>
      <c r="H14" s="2" t="s">
        <v>266</v>
      </c>
    </row>
    <row r="15" spans="1:8" ht="30.75" customHeight="1">
      <c r="A15" s="1">
        <v>14</v>
      </c>
      <c r="B15" s="73" t="s">
        <v>23</v>
      </c>
      <c r="C15" s="2" t="s">
        <v>110</v>
      </c>
      <c r="D15" s="2" t="s">
        <v>267</v>
      </c>
      <c r="E15" s="2" t="s">
        <v>268</v>
      </c>
      <c r="F15" s="2" t="s">
        <v>269</v>
      </c>
      <c r="G15" s="2" t="s">
        <v>226</v>
      </c>
      <c r="H15" s="2"/>
    </row>
    <row r="16" spans="1:8" ht="30.75" customHeight="1">
      <c r="A16" s="1">
        <v>15</v>
      </c>
      <c r="B16" s="74"/>
      <c r="C16" s="2" t="s">
        <v>110</v>
      </c>
      <c r="D16" s="2" t="s">
        <v>270</v>
      </c>
      <c r="E16" s="2" t="s">
        <v>271</v>
      </c>
      <c r="F16" s="2" t="s">
        <v>272</v>
      </c>
      <c r="G16" s="2" t="s">
        <v>226</v>
      </c>
      <c r="H16" s="2"/>
    </row>
    <row r="17" spans="1:8" ht="30.75" customHeight="1">
      <c r="A17" s="1">
        <v>16</v>
      </c>
      <c r="B17" s="74"/>
      <c r="C17" s="2" t="s">
        <v>110</v>
      </c>
      <c r="D17" s="2" t="s">
        <v>273</v>
      </c>
      <c r="E17" s="2" t="s">
        <v>274</v>
      </c>
      <c r="F17" s="2" t="s">
        <v>275</v>
      </c>
      <c r="G17" s="2" t="s">
        <v>226</v>
      </c>
      <c r="H17" s="2"/>
    </row>
    <row r="18" spans="1:8" ht="30.75" customHeight="1">
      <c r="A18" s="1">
        <v>17</v>
      </c>
      <c r="B18" s="74"/>
      <c r="C18" s="2" t="s">
        <v>105</v>
      </c>
      <c r="D18" s="2" t="s">
        <v>276</v>
      </c>
      <c r="E18" s="2" t="s">
        <v>277</v>
      </c>
      <c r="F18" s="2" t="s">
        <v>278</v>
      </c>
      <c r="G18" s="2" t="s">
        <v>226</v>
      </c>
      <c r="H18" s="2" t="s">
        <v>279</v>
      </c>
    </row>
    <row r="19" spans="1:8" ht="30.75" customHeight="1">
      <c r="A19" s="1">
        <v>18</v>
      </c>
      <c r="B19" s="74"/>
      <c r="C19" s="2" t="s">
        <v>105</v>
      </c>
      <c r="D19" s="2" t="s">
        <v>280</v>
      </c>
      <c r="E19" s="2" t="s">
        <v>281</v>
      </c>
      <c r="F19" s="2" t="s">
        <v>282</v>
      </c>
      <c r="G19" s="2" t="s">
        <v>226</v>
      </c>
      <c r="H19" s="2"/>
    </row>
    <row r="20" spans="1:8" ht="30.75" customHeight="1">
      <c r="A20" s="1">
        <v>19</v>
      </c>
      <c r="B20" s="74"/>
      <c r="C20" s="2" t="s">
        <v>105</v>
      </c>
      <c r="D20" s="2" t="s">
        <v>283</v>
      </c>
      <c r="E20" s="2" t="s">
        <v>284</v>
      </c>
      <c r="F20" s="2" t="s">
        <v>285</v>
      </c>
      <c r="G20" s="2" t="s">
        <v>226</v>
      </c>
      <c r="H20" s="2"/>
    </row>
    <row r="21" spans="1:8" ht="30.75" customHeight="1">
      <c r="A21" s="1">
        <v>20</v>
      </c>
      <c r="B21" s="75"/>
      <c r="C21" s="2" t="s">
        <v>110</v>
      </c>
      <c r="D21" s="2" t="s">
        <v>286</v>
      </c>
      <c r="E21" s="2" t="s">
        <v>287</v>
      </c>
      <c r="F21" s="2" t="s">
        <v>288</v>
      </c>
      <c r="G21" s="2" t="s">
        <v>226</v>
      </c>
      <c r="H21" s="2"/>
    </row>
    <row r="22" spans="1:8" ht="30.75" customHeight="1">
      <c r="A22" s="1">
        <v>21</v>
      </c>
      <c r="B22" s="73" t="s">
        <v>25</v>
      </c>
      <c r="C22" s="2" t="s">
        <v>124</v>
      </c>
      <c r="D22" s="2" t="s">
        <v>289</v>
      </c>
      <c r="E22" s="2" t="s">
        <v>290</v>
      </c>
      <c r="F22" s="2" t="s">
        <v>291</v>
      </c>
      <c r="G22" s="2" t="s">
        <v>226</v>
      </c>
      <c r="H22" s="2"/>
    </row>
    <row r="23" spans="1:8" ht="30.75" customHeight="1">
      <c r="A23" s="1">
        <v>22</v>
      </c>
      <c r="B23" s="74"/>
      <c r="C23" s="2" t="s">
        <v>120</v>
      </c>
      <c r="D23" s="2" t="s">
        <v>292</v>
      </c>
      <c r="E23" s="2" t="s">
        <v>293</v>
      </c>
      <c r="F23" s="2" t="s">
        <v>294</v>
      </c>
      <c r="G23" s="2" t="s">
        <v>226</v>
      </c>
      <c r="H23" s="2"/>
    </row>
    <row r="24" spans="1:8" ht="30.75" customHeight="1">
      <c r="A24" s="1">
        <v>23</v>
      </c>
      <c r="B24" s="74"/>
      <c r="C24" s="2" t="s">
        <v>120</v>
      </c>
      <c r="D24" s="2" t="s">
        <v>295</v>
      </c>
      <c r="E24" s="2" t="s">
        <v>296</v>
      </c>
      <c r="F24" s="2" t="s">
        <v>297</v>
      </c>
      <c r="G24" s="2" t="s">
        <v>226</v>
      </c>
      <c r="H24" s="2"/>
    </row>
    <row r="25" spans="1:8" ht="30.75" customHeight="1">
      <c r="A25" s="1">
        <v>24</v>
      </c>
      <c r="B25" s="75"/>
      <c r="C25" s="2" t="s">
        <v>120</v>
      </c>
      <c r="D25" s="2" t="s">
        <v>298</v>
      </c>
      <c r="E25" s="2" t="s">
        <v>299</v>
      </c>
      <c r="F25" s="2" t="s">
        <v>300</v>
      </c>
      <c r="G25" s="2" t="s">
        <v>226</v>
      </c>
      <c r="H25" s="2"/>
    </row>
    <row r="26" spans="1:8" ht="30.75" customHeight="1">
      <c r="A26" s="1">
        <v>25</v>
      </c>
      <c r="B26" s="73" t="s">
        <v>27</v>
      </c>
      <c r="C26" s="2" t="s">
        <v>133</v>
      </c>
      <c r="D26" s="2" t="s">
        <v>301</v>
      </c>
      <c r="E26" s="2" t="s">
        <v>302</v>
      </c>
      <c r="F26" s="2" t="s">
        <v>303</v>
      </c>
      <c r="G26" s="2" t="s">
        <v>226</v>
      </c>
      <c r="H26" s="2"/>
    </row>
    <row r="27" spans="1:8" ht="30.75" customHeight="1">
      <c r="A27" s="1">
        <v>26</v>
      </c>
      <c r="B27" s="74"/>
      <c r="C27" s="2" t="s">
        <v>138</v>
      </c>
      <c r="D27" s="2" t="s">
        <v>304</v>
      </c>
      <c r="E27" s="2" t="s">
        <v>305</v>
      </c>
      <c r="F27" s="2" t="s">
        <v>306</v>
      </c>
      <c r="G27" s="2" t="s">
        <v>226</v>
      </c>
      <c r="H27" s="2"/>
    </row>
    <row r="28" spans="1:8" ht="30.75" customHeight="1">
      <c r="A28" s="1">
        <v>27</v>
      </c>
      <c r="B28" s="74"/>
      <c r="C28" s="2" t="s">
        <v>142</v>
      </c>
      <c r="D28" s="2" t="s">
        <v>307</v>
      </c>
      <c r="E28" s="2" t="s">
        <v>308</v>
      </c>
      <c r="F28" s="2" t="s">
        <v>309</v>
      </c>
      <c r="G28" s="2" t="s">
        <v>226</v>
      </c>
      <c r="H28" s="2" t="s">
        <v>146</v>
      </c>
    </row>
    <row r="29" spans="1:8" ht="30.75" customHeight="1">
      <c r="A29" s="1">
        <v>28</v>
      </c>
      <c r="B29" s="74"/>
      <c r="C29" s="2" t="s">
        <v>147</v>
      </c>
      <c r="D29" s="2" t="s">
        <v>310</v>
      </c>
      <c r="E29" s="2" t="s">
        <v>311</v>
      </c>
      <c r="F29" s="2" t="s">
        <v>312</v>
      </c>
      <c r="G29" s="2" t="s">
        <v>226</v>
      </c>
      <c r="H29" s="2"/>
    </row>
    <row r="30" spans="1:8" ht="30.75" customHeight="1">
      <c r="A30" s="1">
        <v>29</v>
      </c>
      <c r="B30" s="75"/>
      <c r="C30" s="2" t="s">
        <v>313</v>
      </c>
      <c r="D30" s="2" t="s">
        <v>314</v>
      </c>
      <c r="E30" s="2" t="s">
        <v>315</v>
      </c>
      <c r="F30" s="2" t="s">
        <v>316</v>
      </c>
      <c r="G30" s="2" t="s">
        <v>226</v>
      </c>
      <c r="H30" s="2"/>
    </row>
    <row r="31" spans="1:8" ht="30.75" customHeight="1">
      <c r="A31" s="1">
        <v>30</v>
      </c>
      <c r="B31" s="73" t="s">
        <v>30</v>
      </c>
      <c r="C31" s="2" t="s">
        <v>158</v>
      </c>
      <c r="D31" s="2" t="s">
        <v>317</v>
      </c>
      <c r="E31" s="2" t="s">
        <v>318</v>
      </c>
      <c r="F31" s="2" t="s">
        <v>319</v>
      </c>
      <c r="G31" s="2" t="s">
        <v>226</v>
      </c>
      <c r="H31" s="2" t="s">
        <v>320</v>
      </c>
    </row>
    <row r="32" spans="1:8" ht="30.75" customHeight="1">
      <c r="A32" s="1">
        <v>31</v>
      </c>
      <c r="B32" s="74"/>
      <c r="C32" s="2" t="s">
        <v>163</v>
      </c>
      <c r="D32" s="2" t="s">
        <v>321</v>
      </c>
      <c r="E32" s="2" t="s">
        <v>322</v>
      </c>
      <c r="F32" s="2" t="s">
        <v>323</v>
      </c>
      <c r="G32" s="2" t="s">
        <v>226</v>
      </c>
      <c r="H32" s="2"/>
    </row>
    <row r="33" spans="1:8" ht="30.75" customHeight="1">
      <c r="A33" s="1">
        <v>32</v>
      </c>
      <c r="B33" s="74"/>
      <c r="C33" s="2" t="s">
        <v>163</v>
      </c>
      <c r="D33" s="2" t="s">
        <v>324</v>
      </c>
      <c r="E33" s="2" t="s">
        <v>325</v>
      </c>
      <c r="F33" s="2" t="s">
        <v>326</v>
      </c>
      <c r="G33" s="2" t="s">
        <v>226</v>
      </c>
      <c r="H33" s="2"/>
    </row>
    <row r="34" spans="1:8" ht="30.75" customHeight="1">
      <c r="A34" s="1">
        <v>33</v>
      </c>
      <c r="B34" s="74"/>
      <c r="C34" s="2" t="s">
        <v>163</v>
      </c>
      <c r="D34" s="2" t="s">
        <v>327</v>
      </c>
      <c r="E34" s="2" t="s">
        <v>328</v>
      </c>
      <c r="F34" s="2" t="s">
        <v>329</v>
      </c>
      <c r="G34" s="2" t="s">
        <v>226</v>
      </c>
      <c r="H34" s="2"/>
    </row>
    <row r="35" spans="1:8" ht="30.75" customHeight="1">
      <c r="A35" s="1">
        <v>34</v>
      </c>
      <c r="B35" s="74"/>
      <c r="C35" s="2" t="s">
        <v>163</v>
      </c>
      <c r="D35" s="2" t="s">
        <v>330</v>
      </c>
      <c r="E35" s="2" t="s">
        <v>331</v>
      </c>
      <c r="F35" s="2" t="s">
        <v>332</v>
      </c>
      <c r="G35" s="2" t="s">
        <v>226</v>
      </c>
      <c r="H35" s="2"/>
    </row>
    <row r="36" spans="1:8" ht="30.75" customHeight="1">
      <c r="A36" s="1">
        <v>35</v>
      </c>
      <c r="B36" s="74"/>
      <c r="C36" s="2" t="s">
        <v>163</v>
      </c>
      <c r="D36" s="2" t="s">
        <v>333</v>
      </c>
      <c r="E36" s="2" t="s">
        <v>334</v>
      </c>
      <c r="F36" s="2" t="s">
        <v>335</v>
      </c>
      <c r="G36" s="2" t="s">
        <v>226</v>
      </c>
      <c r="H36" s="2"/>
    </row>
    <row r="37" spans="1:8" ht="30.75" customHeight="1">
      <c r="A37" s="1">
        <v>36</v>
      </c>
      <c r="B37" s="74"/>
      <c r="C37" s="2" t="s">
        <v>163</v>
      </c>
      <c r="D37" s="2" t="s">
        <v>336</v>
      </c>
      <c r="E37" s="2" t="s">
        <v>337</v>
      </c>
      <c r="F37" s="2" t="s">
        <v>338</v>
      </c>
      <c r="G37" s="2" t="s">
        <v>226</v>
      </c>
      <c r="H37" s="2" t="s">
        <v>339</v>
      </c>
    </row>
    <row r="38" spans="1:8" ht="30.75" customHeight="1">
      <c r="A38" s="1">
        <v>37</v>
      </c>
      <c r="B38" s="74"/>
      <c r="C38" s="2" t="s">
        <v>169</v>
      </c>
      <c r="D38" s="2" t="s">
        <v>340</v>
      </c>
      <c r="E38" s="2" t="s">
        <v>341</v>
      </c>
      <c r="F38" s="2" t="s">
        <v>342</v>
      </c>
      <c r="G38" s="2" t="s">
        <v>226</v>
      </c>
      <c r="H38" s="2" t="s">
        <v>343</v>
      </c>
    </row>
    <row r="39" spans="1:8" ht="30.75" customHeight="1">
      <c r="A39" s="1">
        <v>38</v>
      </c>
      <c r="B39" s="74"/>
      <c r="C39" s="2" t="s">
        <v>169</v>
      </c>
      <c r="D39" s="2" t="s">
        <v>344</v>
      </c>
      <c r="E39" s="2" t="s">
        <v>345</v>
      </c>
      <c r="F39" s="2" t="s">
        <v>346</v>
      </c>
      <c r="G39" s="2" t="s">
        <v>226</v>
      </c>
      <c r="H39" s="2"/>
    </row>
    <row r="40" spans="1:8" ht="30.75" customHeight="1">
      <c r="A40" s="1">
        <v>39</v>
      </c>
      <c r="B40" s="74"/>
      <c r="C40" s="2" t="s">
        <v>169</v>
      </c>
      <c r="D40" s="2" t="s">
        <v>347</v>
      </c>
      <c r="E40" s="2" t="s">
        <v>348</v>
      </c>
      <c r="F40" s="2" t="s">
        <v>349</v>
      </c>
      <c r="G40" s="2" t="s">
        <v>226</v>
      </c>
      <c r="H40" s="2"/>
    </row>
    <row r="41" spans="1:8" ht="30.75" customHeight="1">
      <c r="A41" s="1">
        <v>40</v>
      </c>
      <c r="B41" s="74"/>
      <c r="C41" s="2" t="s">
        <v>169</v>
      </c>
      <c r="D41" s="2" t="s">
        <v>350</v>
      </c>
      <c r="E41" s="2" t="s">
        <v>351</v>
      </c>
      <c r="F41" s="2" t="s">
        <v>352</v>
      </c>
      <c r="G41" s="2" t="s">
        <v>226</v>
      </c>
      <c r="H41" s="2"/>
    </row>
    <row r="42" spans="1:8" ht="30.75" customHeight="1">
      <c r="A42" s="1">
        <v>41</v>
      </c>
      <c r="B42" s="74"/>
      <c r="C42" s="2" t="s">
        <v>169</v>
      </c>
      <c r="D42" s="2" t="s">
        <v>353</v>
      </c>
      <c r="E42" s="2" t="s">
        <v>354</v>
      </c>
      <c r="F42" s="2" t="s">
        <v>355</v>
      </c>
      <c r="G42" s="2" t="s">
        <v>226</v>
      </c>
      <c r="H42" s="2" t="s">
        <v>356</v>
      </c>
    </row>
    <row r="43" spans="1:8" ht="30.75" customHeight="1">
      <c r="A43" s="1">
        <v>42</v>
      </c>
      <c r="B43" s="75"/>
      <c r="C43" s="2" t="s">
        <v>357</v>
      </c>
      <c r="D43" s="2" t="s">
        <v>358</v>
      </c>
      <c r="E43" s="2" t="s">
        <v>359</v>
      </c>
      <c r="F43" s="2" t="s">
        <v>360</v>
      </c>
      <c r="G43" s="2" t="s">
        <v>226</v>
      </c>
      <c r="H43" s="2" t="s">
        <v>361</v>
      </c>
    </row>
    <row r="44" spans="1:8" ht="30.75" customHeight="1">
      <c r="A44" s="1">
        <v>43</v>
      </c>
      <c r="B44" s="73" t="s">
        <v>32</v>
      </c>
      <c r="C44" s="2" t="s">
        <v>182</v>
      </c>
      <c r="D44" s="2" t="s">
        <v>362</v>
      </c>
      <c r="E44" s="2" t="s">
        <v>363</v>
      </c>
      <c r="F44" s="2" t="s">
        <v>364</v>
      </c>
      <c r="G44" s="2" t="s">
        <v>226</v>
      </c>
      <c r="H44" s="2"/>
    </row>
    <row r="45" spans="1:8" ht="30.75" customHeight="1">
      <c r="A45" s="1">
        <v>44</v>
      </c>
      <c r="B45" s="75"/>
      <c r="C45" s="2" t="s">
        <v>178</v>
      </c>
      <c r="D45" s="2" t="s">
        <v>365</v>
      </c>
      <c r="E45" s="2" t="s">
        <v>366</v>
      </c>
      <c r="F45" s="2" t="s">
        <v>367</v>
      </c>
      <c r="G45" s="2" t="s">
        <v>226</v>
      </c>
      <c r="H45" s="2"/>
    </row>
    <row r="46" spans="1:8" ht="30.75" customHeight="1">
      <c r="A46" s="1">
        <v>45</v>
      </c>
      <c r="B46" s="73" t="s">
        <v>35</v>
      </c>
      <c r="C46" s="2" t="s">
        <v>194</v>
      </c>
      <c r="D46" s="2" t="s">
        <v>368</v>
      </c>
      <c r="E46" s="2" t="s">
        <v>369</v>
      </c>
      <c r="F46" s="2" t="s">
        <v>370</v>
      </c>
      <c r="G46" s="2" t="s">
        <v>226</v>
      </c>
      <c r="H46" s="2"/>
    </row>
    <row r="47" spans="1:8" ht="30.75" customHeight="1">
      <c r="A47" s="1">
        <v>46</v>
      </c>
      <c r="B47" s="74"/>
      <c r="C47" s="2" t="s">
        <v>194</v>
      </c>
      <c r="D47" s="2" t="s">
        <v>371</v>
      </c>
      <c r="E47" s="2" t="s">
        <v>372</v>
      </c>
      <c r="F47" s="2" t="s">
        <v>373</v>
      </c>
      <c r="G47" s="2" t="s">
        <v>226</v>
      </c>
      <c r="H47" s="2"/>
    </row>
    <row r="48" spans="1:8" ht="30.75" customHeight="1">
      <c r="A48" s="1">
        <v>47</v>
      </c>
      <c r="B48" s="75"/>
      <c r="C48" s="2" t="s">
        <v>190</v>
      </c>
      <c r="D48" s="2" t="s">
        <v>374</v>
      </c>
      <c r="E48" s="2" t="s">
        <v>375</v>
      </c>
      <c r="F48" s="2" t="s">
        <v>376</v>
      </c>
      <c r="G48" s="2" t="s">
        <v>226</v>
      </c>
      <c r="H48" s="2"/>
    </row>
    <row r="49" spans="1:8" ht="30.75" customHeight="1">
      <c r="A49" s="1">
        <v>48</v>
      </c>
      <c r="B49" s="73" t="s">
        <v>37</v>
      </c>
      <c r="C49" s="2" t="s">
        <v>205</v>
      </c>
      <c r="D49" s="2" t="s">
        <v>377</v>
      </c>
      <c r="E49" s="2" t="s">
        <v>378</v>
      </c>
      <c r="F49" s="2" t="s">
        <v>379</v>
      </c>
      <c r="G49" s="2" t="s">
        <v>226</v>
      </c>
      <c r="H49" s="2"/>
    </row>
    <row r="50" spans="1:8" ht="30.75" customHeight="1">
      <c r="A50" s="1">
        <v>49</v>
      </c>
      <c r="B50" s="75"/>
      <c r="C50" s="2" t="s">
        <v>210</v>
      </c>
      <c r="D50" s="2" t="s">
        <v>380</v>
      </c>
      <c r="E50" s="2" t="s">
        <v>381</v>
      </c>
      <c r="F50" s="2" t="s">
        <v>382</v>
      </c>
      <c r="G50" s="2" t="s">
        <v>226</v>
      </c>
      <c r="H50" s="2" t="s">
        <v>215</v>
      </c>
    </row>
    <row r="51" spans="1:8" ht="15" customHeight="1">
      <c r="C51" s="10"/>
    </row>
    <row r="52" spans="1:8" ht="15" customHeight="1">
      <c r="C52" s="10"/>
    </row>
    <row r="53" spans="1:8" ht="15" customHeight="1">
      <c r="C53" s="10"/>
    </row>
    <row r="54" spans="1:8" ht="15" customHeight="1">
      <c r="C54" s="10"/>
    </row>
    <row r="55" spans="1:8" ht="15" customHeight="1">
      <c r="C55" s="10"/>
    </row>
    <row r="56" spans="1:8" ht="15" customHeight="1">
      <c r="C56" s="10"/>
    </row>
    <row r="57" spans="1:8" ht="15" customHeight="1">
      <c r="C57" s="10"/>
    </row>
    <row r="58" spans="1:8" ht="15" customHeight="1">
      <c r="C58" s="10"/>
    </row>
    <row r="59" spans="1:8" ht="15" customHeight="1">
      <c r="C59" s="10"/>
    </row>
    <row r="60" spans="1:8" ht="15" customHeight="1">
      <c r="C60" s="10"/>
    </row>
    <row r="61" spans="1:8" ht="15" customHeight="1">
      <c r="C61" s="10"/>
    </row>
    <row r="62" spans="1:8" ht="15" customHeight="1">
      <c r="C62" s="10"/>
    </row>
    <row r="63" spans="1:8" ht="15" customHeight="1">
      <c r="C63" s="10"/>
    </row>
    <row r="64" spans="1:8" ht="15" customHeight="1">
      <c r="C64" s="10"/>
    </row>
    <row r="65" spans="3:3" ht="15" customHeight="1">
      <c r="C65" s="10"/>
    </row>
    <row r="66" spans="3:3" ht="15" customHeight="1">
      <c r="C66" s="10"/>
    </row>
    <row r="67" spans="3:3" ht="15" customHeight="1">
      <c r="C67" s="10"/>
    </row>
    <row r="68" spans="3:3" ht="15" customHeight="1">
      <c r="C68" s="10"/>
    </row>
    <row r="69" spans="3:3" ht="15" customHeight="1">
      <c r="C69" s="10"/>
    </row>
    <row r="70" spans="3:3" ht="15" customHeight="1">
      <c r="C70" s="10"/>
    </row>
    <row r="71" spans="3:3" ht="15" customHeight="1">
      <c r="C71" s="10"/>
    </row>
    <row r="72" spans="3:3" ht="15" customHeight="1">
      <c r="C72" s="10"/>
    </row>
    <row r="73" spans="3:3" ht="15" customHeight="1">
      <c r="C73" s="10"/>
    </row>
    <row r="74" spans="3:3" ht="15" customHeight="1">
      <c r="C74" s="10"/>
    </row>
    <row r="75" spans="3:3" ht="15" customHeight="1">
      <c r="C75" s="10"/>
    </row>
    <row r="76" spans="3:3" ht="15" customHeight="1">
      <c r="C76" s="10"/>
    </row>
    <row r="77" spans="3:3" ht="15" customHeight="1">
      <c r="C77" s="10"/>
    </row>
    <row r="78" spans="3:3" ht="15" customHeight="1">
      <c r="C78" s="10"/>
    </row>
    <row r="79" spans="3:3" ht="15" customHeight="1">
      <c r="C79" s="10"/>
    </row>
    <row r="80" spans="3:3" ht="15" customHeight="1">
      <c r="C80" s="10"/>
    </row>
    <row r="81" spans="3:3" ht="15" customHeight="1">
      <c r="C81" s="10"/>
    </row>
    <row r="82" spans="3:3" ht="15" customHeight="1">
      <c r="C82" s="10"/>
    </row>
    <row r="83" spans="3:3" ht="15" customHeight="1">
      <c r="C83" s="10"/>
    </row>
    <row r="84" spans="3:3" ht="15" customHeight="1">
      <c r="C84" s="10"/>
    </row>
    <row r="85" spans="3:3" ht="15" customHeight="1">
      <c r="C85" s="10"/>
    </row>
    <row r="86" spans="3:3" ht="15" customHeight="1">
      <c r="C86" s="10"/>
    </row>
    <row r="87" spans="3:3" ht="15" customHeight="1">
      <c r="C87" s="10"/>
    </row>
    <row r="88" spans="3:3" ht="15" customHeight="1">
      <c r="C88" s="10"/>
    </row>
    <row r="89" spans="3:3" ht="15" customHeight="1">
      <c r="C89" s="10"/>
    </row>
    <row r="90" spans="3:3" ht="15" customHeight="1">
      <c r="C90" s="10"/>
    </row>
    <row r="91" spans="3:3" ht="15" customHeight="1">
      <c r="C91" s="10"/>
    </row>
    <row r="92" spans="3:3" ht="15" customHeight="1">
      <c r="C92" s="10"/>
    </row>
    <row r="93" spans="3:3" ht="15" customHeight="1">
      <c r="C93" s="10"/>
    </row>
    <row r="94" spans="3:3" ht="15" customHeight="1">
      <c r="C94" s="10"/>
    </row>
    <row r="95" spans="3:3" ht="15" customHeight="1">
      <c r="C95" s="10"/>
    </row>
    <row r="96" spans="3:3" ht="15" customHeight="1">
      <c r="C96" s="10"/>
    </row>
    <row r="97" spans="3:3" ht="15" customHeight="1">
      <c r="C97" s="10"/>
    </row>
    <row r="98" spans="3:3" ht="15" customHeight="1">
      <c r="C98" s="10"/>
    </row>
    <row r="99" spans="3:3" ht="15" customHeight="1">
      <c r="C99" s="10"/>
    </row>
    <row r="100" spans="3:3" ht="15" customHeight="1">
      <c r="C100" s="10"/>
    </row>
    <row r="101" spans="3:3" ht="15" customHeight="1">
      <c r="C101" s="10"/>
    </row>
    <row r="102" spans="3:3" ht="15" customHeight="1">
      <c r="C102" s="10"/>
    </row>
    <row r="103" spans="3:3" ht="15" customHeight="1">
      <c r="C103" s="10"/>
    </row>
    <row r="104" spans="3:3" ht="15" customHeight="1">
      <c r="C104" s="10"/>
    </row>
    <row r="105" spans="3:3" ht="15" customHeight="1">
      <c r="C105" s="10"/>
    </row>
    <row r="106" spans="3:3" ht="15" customHeight="1">
      <c r="C106" s="10"/>
    </row>
    <row r="107" spans="3:3" ht="15" customHeight="1">
      <c r="C107" s="10"/>
    </row>
    <row r="108" spans="3:3" ht="15" customHeight="1">
      <c r="C108" s="10"/>
    </row>
    <row r="109" spans="3:3" ht="15" customHeight="1">
      <c r="C109" s="10"/>
    </row>
    <row r="110" spans="3:3" ht="15" customHeight="1">
      <c r="C110" s="10"/>
    </row>
    <row r="111" spans="3:3" ht="15" customHeight="1">
      <c r="C111" s="10"/>
    </row>
    <row r="112" spans="3:3" ht="15" customHeight="1">
      <c r="C112" s="10"/>
    </row>
    <row r="113" spans="3:3" ht="15" customHeight="1">
      <c r="C113" s="10"/>
    </row>
    <row r="114" spans="3:3" ht="15" customHeight="1">
      <c r="C114" s="10"/>
    </row>
    <row r="115" spans="3:3" ht="15" customHeight="1">
      <c r="C115" s="10"/>
    </row>
    <row r="116" spans="3:3" ht="15" customHeight="1">
      <c r="C116" s="10"/>
    </row>
    <row r="117" spans="3:3" ht="15" customHeight="1">
      <c r="C117" s="10"/>
    </row>
    <row r="118" spans="3:3" ht="15" customHeight="1">
      <c r="C118" s="10"/>
    </row>
    <row r="119" spans="3:3" ht="15" customHeight="1">
      <c r="C119" s="10"/>
    </row>
    <row r="120" spans="3:3" ht="15" customHeight="1">
      <c r="C120" s="10"/>
    </row>
    <row r="121" spans="3:3" ht="15" customHeight="1">
      <c r="C121" s="10"/>
    </row>
    <row r="122" spans="3:3" ht="15" customHeight="1">
      <c r="C122" s="10"/>
    </row>
    <row r="123" spans="3:3" ht="15" customHeight="1">
      <c r="C123" s="10"/>
    </row>
    <row r="124" spans="3:3" ht="15" customHeight="1">
      <c r="C124" s="10"/>
    </row>
    <row r="125" spans="3:3" ht="15" customHeight="1">
      <c r="C125" s="10"/>
    </row>
    <row r="126" spans="3:3" ht="15" customHeight="1">
      <c r="C126" s="10"/>
    </row>
    <row r="127" spans="3:3" ht="15" customHeight="1">
      <c r="C127" s="10"/>
    </row>
    <row r="128" spans="3:3" ht="15" customHeight="1">
      <c r="C128" s="10"/>
    </row>
    <row r="129" spans="3:3" ht="15" customHeight="1">
      <c r="C129" s="10"/>
    </row>
    <row r="130" spans="3:3" ht="15" customHeight="1">
      <c r="C130" s="10"/>
    </row>
    <row r="131" spans="3:3" ht="15" customHeight="1">
      <c r="C131" s="10"/>
    </row>
    <row r="132" spans="3:3" ht="15" customHeight="1">
      <c r="C132" s="10"/>
    </row>
    <row r="133" spans="3:3" ht="15" customHeight="1">
      <c r="C133" s="10"/>
    </row>
    <row r="134" spans="3:3" ht="15" customHeight="1">
      <c r="C134" s="10"/>
    </row>
    <row r="135" spans="3:3" ht="15" customHeight="1">
      <c r="C135" s="10"/>
    </row>
    <row r="136" spans="3:3" ht="15" customHeight="1">
      <c r="C136" s="10"/>
    </row>
    <row r="137" spans="3:3" ht="15" customHeight="1">
      <c r="C137" s="10"/>
    </row>
    <row r="138" spans="3:3" ht="15" customHeight="1">
      <c r="C138" s="10"/>
    </row>
    <row r="139" spans="3:3" ht="15" customHeight="1">
      <c r="C139" s="10"/>
    </row>
    <row r="140" spans="3:3" ht="15" customHeight="1">
      <c r="C140" s="10"/>
    </row>
    <row r="141" spans="3:3" ht="15" customHeight="1">
      <c r="C141" s="10"/>
    </row>
    <row r="142" spans="3:3" ht="15" customHeight="1">
      <c r="C142" s="10"/>
    </row>
    <row r="143" spans="3:3" ht="15" customHeight="1">
      <c r="C143" s="10"/>
    </row>
    <row r="144" spans="3:3" ht="15" customHeight="1">
      <c r="C144" s="10"/>
    </row>
    <row r="145" spans="3:3" ht="15" customHeight="1">
      <c r="C145" s="10"/>
    </row>
    <row r="146" spans="3:3" ht="15" customHeight="1">
      <c r="C146" s="10"/>
    </row>
    <row r="147" spans="3:3" ht="15" customHeight="1">
      <c r="C147" s="10"/>
    </row>
    <row r="148" spans="3:3" ht="15" customHeight="1">
      <c r="C148" s="10"/>
    </row>
    <row r="149" spans="3:3" ht="15" customHeight="1">
      <c r="C149" s="10"/>
    </row>
    <row r="150" spans="3:3" ht="15" customHeight="1">
      <c r="C150" s="10"/>
    </row>
    <row r="151" spans="3:3" ht="15" customHeight="1">
      <c r="C151" s="10"/>
    </row>
    <row r="152" spans="3:3" ht="15" customHeight="1">
      <c r="C152" s="10"/>
    </row>
    <row r="153" spans="3:3" ht="15" customHeight="1">
      <c r="C153" s="10"/>
    </row>
    <row r="154" spans="3:3" ht="15" customHeight="1">
      <c r="C154" s="10"/>
    </row>
    <row r="155" spans="3:3" ht="15" customHeight="1">
      <c r="C155" s="10"/>
    </row>
    <row r="156" spans="3:3" ht="15" customHeight="1">
      <c r="C156" s="10"/>
    </row>
    <row r="157" spans="3:3" ht="15" customHeight="1">
      <c r="C157" s="10"/>
    </row>
    <row r="158" spans="3:3" ht="15" customHeight="1">
      <c r="C158" s="10"/>
    </row>
    <row r="159" spans="3:3" ht="15" customHeight="1">
      <c r="C159" s="10"/>
    </row>
    <row r="160" spans="3:3" ht="15" customHeight="1">
      <c r="C160" s="10"/>
    </row>
    <row r="161" spans="3:3" ht="15" customHeight="1">
      <c r="C161" s="10"/>
    </row>
    <row r="162" spans="3:3" ht="15" customHeight="1">
      <c r="C162" s="10"/>
    </row>
    <row r="163" spans="3:3" ht="15" customHeight="1">
      <c r="C163" s="10"/>
    </row>
    <row r="164" spans="3:3" ht="15" customHeight="1">
      <c r="C164" s="10"/>
    </row>
    <row r="165" spans="3:3" ht="15" customHeight="1">
      <c r="C165" s="10"/>
    </row>
    <row r="166" spans="3:3" ht="15" customHeight="1">
      <c r="C166" s="10"/>
    </row>
    <row r="167" spans="3:3" ht="15" customHeight="1">
      <c r="C167" s="10"/>
    </row>
    <row r="168" spans="3:3" ht="15" customHeight="1">
      <c r="C168" s="10"/>
    </row>
    <row r="169" spans="3:3" ht="15" customHeight="1">
      <c r="C169" s="10"/>
    </row>
    <row r="170" spans="3:3" ht="15" customHeight="1">
      <c r="C170" s="10"/>
    </row>
    <row r="171" spans="3:3" ht="15" customHeight="1">
      <c r="C171" s="10"/>
    </row>
    <row r="172" spans="3:3" ht="15" customHeight="1">
      <c r="C172" s="10"/>
    </row>
    <row r="173" spans="3:3" ht="15" customHeight="1">
      <c r="C173" s="10"/>
    </row>
    <row r="174" spans="3:3" ht="15" customHeight="1">
      <c r="C174" s="10"/>
    </row>
    <row r="175" spans="3:3" ht="15" customHeight="1">
      <c r="C175" s="10"/>
    </row>
    <row r="176" spans="3:3" ht="15" customHeight="1">
      <c r="C176" s="10"/>
    </row>
    <row r="177" spans="3:3" ht="15" customHeight="1">
      <c r="C177" s="10"/>
    </row>
    <row r="178" spans="3:3" ht="15" customHeight="1">
      <c r="C178" s="10"/>
    </row>
    <row r="179" spans="3:3" ht="15" customHeight="1">
      <c r="C179" s="10"/>
    </row>
    <row r="180" spans="3:3" ht="15" customHeight="1">
      <c r="C180" s="10"/>
    </row>
    <row r="181" spans="3:3" ht="15" customHeight="1">
      <c r="C181" s="10"/>
    </row>
    <row r="182" spans="3:3" ht="15" customHeight="1">
      <c r="C182" s="10"/>
    </row>
    <row r="183" spans="3:3" ht="15" customHeight="1">
      <c r="C183" s="10"/>
    </row>
    <row r="184" spans="3:3" ht="15" customHeight="1">
      <c r="C184" s="10"/>
    </row>
    <row r="185" spans="3:3" ht="15" customHeight="1">
      <c r="C185" s="10"/>
    </row>
    <row r="186" spans="3:3" ht="15" customHeight="1">
      <c r="C186" s="10"/>
    </row>
    <row r="187" spans="3:3" ht="15" customHeight="1">
      <c r="C187" s="10"/>
    </row>
    <row r="188" spans="3:3" ht="15" customHeight="1">
      <c r="C188" s="10"/>
    </row>
    <row r="189" spans="3:3" ht="15" customHeight="1">
      <c r="C189" s="10"/>
    </row>
    <row r="190" spans="3:3" ht="15" customHeight="1">
      <c r="C190" s="10"/>
    </row>
    <row r="191" spans="3:3" ht="15" customHeight="1">
      <c r="C191" s="10"/>
    </row>
    <row r="192" spans="3:3" ht="15" customHeight="1">
      <c r="C192" s="10"/>
    </row>
    <row r="193" spans="3:3" ht="15" customHeight="1">
      <c r="C193" s="10"/>
    </row>
    <row r="194" spans="3:3" ht="15" customHeight="1">
      <c r="C194" s="10"/>
    </row>
    <row r="195" spans="3:3" ht="15" customHeight="1">
      <c r="C195" s="10"/>
    </row>
    <row r="196" spans="3:3" ht="15" customHeight="1">
      <c r="C196" s="10"/>
    </row>
    <row r="197" spans="3:3" ht="15" customHeight="1">
      <c r="C197" s="10"/>
    </row>
    <row r="198" spans="3:3" ht="15" customHeight="1">
      <c r="C198" s="10"/>
    </row>
    <row r="199" spans="3:3" ht="15" customHeight="1">
      <c r="C199" s="10"/>
    </row>
    <row r="200" spans="3:3" ht="15" customHeight="1">
      <c r="C200" s="10"/>
    </row>
    <row r="201" spans="3:3" ht="15" customHeight="1">
      <c r="C201" s="10"/>
    </row>
    <row r="202" spans="3:3" ht="15" customHeight="1">
      <c r="C202" s="10"/>
    </row>
    <row r="203" spans="3:3" ht="15" customHeight="1">
      <c r="C203" s="10"/>
    </row>
    <row r="204" spans="3:3" ht="15" customHeight="1">
      <c r="C204" s="10"/>
    </row>
    <row r="205" spans="3:3" ht="15" customHeight="1">
      <c r="C205" s="10"/>
    </row>
    <row r="206" spans="3:3" ht="15" customHeight="1">
      <c r="C206" s="10"/>
    </row>
    <row r="207" spans="3:3" ht="15" customHeight="1">
      <c r="C207" s="10"/>
    </row>
    <row r="208" spans="3:3" ht="15" customHeight="1">
      <c r="C208" s="10"/>
    </row>
    <row r="209" spans="3:3" ht="15" customHeight="1">
      <c r="C209" s="10"/>
    </row>
    <row r="210" spans="3:3" ht="15" customHeight="1">
      <c r="C210" s="10"/>
    </row>
    <row r="211" spans="3:3" ht="15" customHeight="1">
      <c r="C211" s="10"/>
    </row>
    <row r="212" spans="3:3" ht="15" customHeight="1">
      <c r="C212" s="10"/>
    </row>
    <row r="213" spans="3:3" ht="15" customHeight="1">
      <c r="C213" s="10"/>
    </row>
    <row r="214" spans="3:3" ht="15" customHeight="1">
      <c r="C214" s="10"/>
    </row>
    <row r="215" spans="3:3" ht="15" customHeight="1">
      <c r="C215" s="10"/>
    </row>
    <row r="216" spans="3:3" ht="15" customHeight="1">
      <c r="C216" s="10"/>
    </row>
    <row r="217" spans="3:3" ht="15" customHeight="1">
      <c r="C217" s="10"/>
    </row>
    <row r="218" spans="3:3" ht="15" customHeight="1">
      <c r="C218" s="10"/>
    </row>
    <row r="219" spans="3:3" ht="15" customHeight="1">
      <c r="C219" s="10"/>
    </row>
    <row r="220" spans="3:3" ht="15" customHeight="1">
      <c r="C220" s="10"/>
    </row>
    <row r="221" spans="3:3" ht="15" customHeight="1">
      <c r="C221" s="10"/>
    </row>
    <row r="222" spans="3:3" ht="15" customHeight="1">
      <c r="C222" s="10"/>
    </row>
    <row r="223" spans="3:3" ht="15" customHeight="1">
      <c r="C223" s="10"/>
    </row>
    <row r="224" spans="3:3" ht="15" customHeight="1">
      <c r="C224" s="10"/>
    </row>
    <row r="225" spans="3:3" ht="15" customHeight="1">
      <c r="C225" s="10"/>
    </row>
    <row r="226" spans="3:3" ht="15" customHeight="1">
      <c r="C226" s="10"/>
    </row>
    <row r="227" spans="3:3" ht="15" customHeight="1">
      <c r="C227" s="10"/>
    </row>
    <row r="228" spans="3:3" ht="15" customHeight="1">
      <c r="C228" s="10"/>
    </row>
    <row r="229" spans="3:3" ht="15" customHeight="1">
      <c r="C229" s="10"/>
    </row>
    <row r="230" spans="3:3" ht="15" customHeight="1">
      <c r="C230" s="10"/>
    </row>
    <row r="231" spans="3:3" ht="15" customHeight="1">
      <c r="C231" s="10"/>
    </row>
    <row r="232" spans="3:3" ht="15" customHeight="1">
      <c r="C232" s="10"/>
    </row>
    <row r="233" spans="3:3" ht="15" customHeight="1">
      <c r="C233" s="10"/>
    </row>
    <row r="234" spans="3:3" ht="15" customHeight="1">
      <c r="C234" s="10"/>
    </row>
    <row r="235" spans="3:3" ht="15" customHeight="1">
      <c r="C235" s="10"/>
    </row>
    <row r="236" spans="3:3" ht="15" customHeight="1">
      <c r="C236" s="10"/>
    </row>
    <row r="237" spans="3:3" ht="15" customHeight="1">
      <c r="C237" s="10"/>
    </row>
    <row r="238" spans="3:3" ht="15" customHeight="1">
      <c r="C238" s="10"/>
    </row>
    <row r="239" spans="3:3" ht="15" customHeight="1">
      <c r="C239" s="10"/>
    </row>
    <row r="240" spans="3:3" ht="15" customHeight="1">
      <c r="C240" s="10"/>
    </row>
    <row r="241" spans="3:3" ht="15" customHeight="1">
      <c r="C241" s="10"/>
    </row>
    <row r="242" spans="3:3" ht="15" customHeight="1">
      <c r="C242" s="10"/>
    </row>
    <row r="243" spans="3:3" ht="15" customHeight="1">
      <c r="C243" s="10"/>
    </row>
    <row r="244" spans="3:3" ht="15" customHeight="1">
      <c r="C244" s="10"/>
    </row>
    <row r="245" spans="3:3" ht="15" customHeight="1">
      <c r="C245" s="10"/>
    </row>
    <row r="246" spans="3:3" ht="15" customHeight="1">
      <c r="C246" s="10"/>
    </row>
    <row r="247" spans="3:3" ht="15" customHeight="1">
      <c r="C247" s="10"/>
    </row>
    <row r="248" spans="3:3" ht="15" customHeight="1">
      <c r="C248" s="10"/>
    </row>
    <row r="249" spans="3:3" ht="15" customHeight="1">
      <c r="C249" s="10"/>
    </row>
    <row r="250" spans="3:3" ht="15" customHeight="1">
      <c r="C250" s="10"/>
    </row>
    <row r="251" spans="3:3" ht="15" customHeight="1">
      <c r="C251" s="10"/>
    </row>
    <row r="252" spans="3:3" ht="15" customHeight="1">
      <c r="C252" s="10"/>
    </row>
    <row r="253" spans="3:3" ht="15" customHeight="1">
      <c r="C253" s="10"/>
    </row>
    <row r="254" spans="3:3" ht="15" customHeight="1">
      <c r="C254" s="10"/>
    </row>
    <row r="255" spans="3:3" ht="15" customHeight="1">
      <c r="C255" s="10"/>
    </row>
    <row r="256" spans="3:3" ht="15" customHeight="1">
      <c r="C256" s="10"/>
    </row>
    <row r="257" spans="3:3" ht="15" customHeight="1">
      <c r="C257" s="10"/>
    </row>
    <row r="258" spans="3:3" ht="15" customHeight="1">
      <c r="C258" s="10"/>
    </row>
    <row r="259" spans="3:3" ht="15" customHeight="1">
      <c r="C259" s="10"/>
    </row>
    <row r="260" spans="3:3" ht="15" customHeight="1">
      <c r="C260" s="10"/>
    </row>
    <row r="261" spans="3:3" ht="15" customHeight="1">
      <c r="C261" s="10"/>
    </row>
    <row r="262" spans="3:3" ht="15" customHeight="1">
      <c r="C262" s="10"/>
    </row>
    <row r="263" spans="3:3" ht="15" customHeight="1">
      <c r="C263" s="10"/>
    </row>
    <row r="264" spans="3:3" ht="15" customHeight="1">
      <c r="C264" s="10"/>
    </row>
    <row r="265" spans="3:3" ht="15" customHeight="1">
      <c r="C265" s="10"/>
    </row>
    <row r="266" spans="3:3" ht="15" customHeight="1">
      <c r="C266" s="10"/>
    </row>
    <row r="267" spans="3:3" ht="15" customHeight="1">
      <c r="C267" s="10"/>
    </row>
    <row r="268" spans="3:3" ht="15" customHeight="1">
      <c r="C268" s="10"/>
    </row>
    <row r="269" spans="3:3" ht="15" customHeight="1">
      <c r="C269" s="10"/>
    </row>
    <row r="270" spans="3:3" ht="15" customHeight="1">
      <c r="C270" s="10"/>
    </row>
    <row r="271" spans="3:3" ht="15" customHeight="1">
      <c r="C271" s="10"/>
    </row>
    <row r="272" spans="3:3" ht="15" customHeight="1">
      <c r="C272" s="10"/>
    </row>
    <row r="273" spans="3:3" ht="15" customHeight="1">
      <c r="C273" s="10"/>
    </row>
    <row r="274" spans="3:3" ht="15" customHeight="1">
      <c r="C274" s="10"/>
    </row>
    <row r="275" spans="3:3" ht="15" customHeight="1">
      <c r="C275" s="10"/>
    </row>
    <row r="276" spans="3:3" ht="15" customHeight="1">
      <c r="C276" s="10"/>
    </row>
    <row r="277" spans="3:3" ht="15" customHeight="1">
      <c r="C277" s="10"/>
    </row>
    <row r="278" spans="3:3" ht="15" customHeight="1">
      <c r="C278" s="10"/>
    </row>
    <row r="279" spans="3:3" ht="15" customHeight="1">
      <c r="C279" s="10"/>
    </row>
    <row r="280" spans="3:3" ht="15" customHeight="1">
      <c r="C280" s="10"/>
    </row>
    <row r="281" spans="3:3" ht="15" customHeight="1">
      <c r="C281" s="10"/>
    </row>
    <row r="282" spans="3:3" ht="15" customHeight="1">
      <c r="C282" s="10"/>
    </row>
    <row r="283" spans="3:3" ht="15" customHeight="1">
      <c r="C283" s="10"/>
    </row>
    <row r="284" spans="3:3" ht="15" customHeight="1">
      <c r="C284" s="10"/>
    </row>
    <row r="285" spans="3:3" ht="15" customHeight="1">
      <c r="C285" s="10"/>
    </row>
    <row r="286" spans="3:3" ht="15" customHeight="1">
      <c r="C286" s="10"/>
    </row>
    <row r="287" spans="3:3" ht="15" customHeight="1">
      <c r="C287" s="10"/>
    </row>
    <row r="288" spans="3:3" ht="15" customHeight="1">
      <c r="C288" s="10"/>
    </row>
    <row r="289" spans="3:3" ht="15" customHeight="1">
      <c r="C289" s="10"/>
    </row>
    <row r="290" spans="3:3" ht="15" customHeight="1">
      <c r="C290" s="10"/>
    </row>
    <row r="291" spans="3:3" ht="15" customHeight="1">
      <c r="C291" s="10"/>
    </row>
    <row r="292" spans="3:3" ht="15" customHeight="1">
      <c r="C292" s="10"/>
    </row>
    <row r="293" spans="3:3" ht="15" customHeight="1">
      <c r="C293" s="10"/>
    </row>
    <row r="294" spans="3:3" ht="15" customHeight="1">
      <c r="C294" s="10"/>
    </row>
    <row r="295" spans="3:3" ht="15" customHeight="1">
      <c r="C295" s="10"/>
    </row>
    <row r="296" spans="3:3" ht="15" customHeight="1">
      <c r="C296" s="10"/>
    </row>
    <row r="297" spans="3:3" ht="15" customHeight="1">
      <c r="C297" s="10"/>
    </row>
    <row r="298" spans="3:3" ht="15" customHeight="1">
      <c r="C298" s="10"/>
    </row>
    <row r="299" spans="3:3" ht="15" customHeight="1">
      <c r="C299" s="10"/>
    </row>
    <row r="300" spans="3:3" ht="15" customHeight="1">
      <c r="C300" s="10"/>
    </row>
    <row r="301" spans="3:3" ht="15" customHeight="1">
      <c r="C301" s="10"/>
    </row>
    <row r="302" spans="3:3" ht="15" customHeight="1">
      <c r="C302" s="10"/>
    </row>
    <row r="303" spans="3:3" ht="15" customHeight="1">
      <c r="C303" s="10"/>
    </row>
    <row r="304" spans="3:3" ht="15" customHeight="1">
      <c r="C304" s="10"/>
    </row>
    <row r="305" spans="3:3" ht="15" customHeight="1">
      <c r="C305" s="10"/>
    </row>
    <row r="306" spans="3:3" ht="15" customHeight="1">
      <c r="C306" s="10"/>
    </row>
    <row r="307" spans="3:3" ht="15" customHeight="1">
      <c r="C307" s="10"/>
    </row>
    <row r="308" spans="3:3" ht="15" customHeight="1">
      <c r="C308" s="10"/>
    </row>
    <row r="309" spans="3:3" ht="15" customHeight="1">
      <c r="C309" s="10"/>
    </row>
    <row r="310" spans="3:3" ht="15" customHeight="1">
      <c r="C310" s="10"/>
    </row>
    <row r="311" spans="3:3" ht="15" customHeight="1">
      <c r="C311" s="10"/>
    </row>
    <row r="312" spans="3:3" ht="15" customHeight="1">
      <c r="C312" s="10"/>
    </row>
    <row r="313" spans="3:3" ht="15" customHeight="1">
      <c r="C313" s="10"/>
    </row>
    <row r="314" spans="3:3" ht="15" customHeight="1">
      <c r="C314" s="10"/>
    </row>
    <row r="315" spans="3:3" ht="15" customHeight="1">
      <c r="C315" s="10"/>
    </row>
    <row r="316" spans="3:3" ht="15" customHeight="1">
      <c r="C316" s="10"/>
    </row>
    <row r="317" spans="3:3" ht="15" customHeight="1">
      <c r="C317" s="10"/>
    </row>
    <row r="318" spans="3:3" ht="15" customHeight="1">
      <c r="C318" s="10"/>
    </row>
    <row r="319" spans="3:3" ht="15" customHeight="1">
      <c r="C319" s="10"/>
    </row>
    <row r="320" spans="3:3" ht="15" customHeight="1">
      <c r="C320" s="10"/>
    </row>
    <row r="321" spans="3:3" ht="15" customHeight="1">
      <c r="C321" s="10"/>
    </row>
    <row r="322" spans="3:3" ht="15" customHeight="1">
      <c r="C322" s="10"/>
    </row>
    <row r="323" spans="3:3" ht="15" customHeight="1">
      <c r="C323" s="10"/>
    </row>
    <row r="324" spans="3:3" ht="15" customHeight="1">
      <c r="C324" s="10"/>
    </row>
    <row r="325" spans="3:3" ht="15" customHeight="1">
      <c r="C325" s="10"/>
    </row>
    <row r="326" spans="3:3" ht="15" customHeight="1">
      <c r="C326" s="10"/>
    </row>
    <row r="327" spans="3:3" ht="15" customHeight="1">
      <c r="C327" s="10"/>
    </row>
    <row r="328" spans="3:3" ht="15" customHeight="1">
      <c r="C328" s="10"/>
    </row>
    <row r="329" spans="3:3" ht="15" customHeight="1">
      <c r="C329" s="10"/>
    </row>
    <row r="330" spans="3:3" ht="15" customHeight="1">
      <c r="C330" s="10"/>
    </row>
    <row r="331" spans="3:3" ht="15" customHeight="1">
      <c r="C331" s="10"/>
    </row>
    <row r="332" spans="3:3" ht="15" customHeight="1">
      <c r="C332" s="10"/>
    </row>
    <row r="333" spans="3:3" ht="15" customHeight="1">
      <c r="C333" s="10"/>
    </row>
    <row r="334" spans="3:3" ht="15" customHeight="1">
      <c r="C334" s="10"/>
    </row>
    <row r="335" spans="3:3" ht="15" customHeight="1">
      <c r="C335" s="10"/>
    </row>
    <row r="336" spans="3:3" ht="15" customHeight="1">
      <c r="C336" s="10"/>
    </row>
    <row r="337" spans="3:3" ht="15" customHeight="1">
      <c r="C337" s="10"/>
    </row>
    <row r="338" spans="3:3" ht="15" customHeight="1">
      <c r="C338" s="10"/>
    </row>
    <row r="339" spans="3:3" ht="15" customHeight="1">
      <c r="C339" s="10"/>
    </row>
    <row r="340" spans="3:3" ht="15" customHeight="1">
      <c r="C340" s="10"/>
    </row>
    <row r="341" spans="3:3" ht="15" customHeight="1">
      <c r="C341" s="10"/>
    </row>
    <row r="342" spans="3:3" ht="15" customHeight="1">
      <c r="C342" s="10"/>
    </row>
    <row r="343" spans="3:3" ht="15" customHeight="1">
      <c r="C343" s="10"/>
    </row>
    <row r="344" spans="3:3" ht="15" customHeight="1">
      <c r="C344" s="10"/>
    </row>
    <row r="345" spans="3:3" ht="15" customHeight="1">
      <c r="C345" s="10"/>
    </row>
    <row r="346" spans="3:3" ht="15" customHeight="1">
      <c r="C346" s="10"/>
    </row>
    <row r="347" spans="3:3" ht="15" customHeight="1">
      <c r="C347" s="10"/>
    </row>
    <row r="348" spans="3:3" ht="15" customHeight="1">
      <c r="C348" s="10"/>
    </row>
    <row r="349" spans="3:3" ht="15" customHeight="1">
      <c r="C349" s="10"/>
    </row>
    <row r="350" spans="3:3" ht="15" customHeight="1">
      <c r="C350" s="10"/>
    </row>
    <row r="351" spans="3:3" ht="15" customHeight="1">
      <c r="C351" s="10"/>
    </row>
    <row r="352" spans="3:3" ht="15" customHeight="1">
      <c r="C352" s="10"/>
    </row>
    <row r="353" spans="3:3" ht="15" customHeight="1">
      <c r="C353" s="10"/>
    </row>
    <row r="354" spans="3:3" ht="15" customHeight="1">
      <c r="C354" s="10"/>
    </row>
    <row r="355" spans="3:3" ht="15" customHeight="1">
      <c r="C355" s="10"/>
    </row>
    <row r="356" spans="3:3" ht="15" customHeight="1">
      <c r="C356" s="10"/>
    </row>
    <row r="357" spans="3:3" ht="15" customHeight="1">
      <c r="C357" s="10"/>
    </row>
    <row r="358" spans="3:3" ht="15" customHeight="1">
      <c r="C358" s="10"/>
    </row>
    <row r="359" spans="3:3" ht="15" customHeight="1">
      <c r="C359" s="10"/>
    </row>
    <row r="360" spans="3:3" ht="15" customHeight="1">
      <c r="C360" s="10"/>
    </row>
    <row r="361" spans="3:3" ht="15" customHeight="1">
      <c r="C361" s="10"/>
    </row>
    <row r="362" spans="3:3" ht="15" customHeight="1">
      <c r="C362" s="10"/>
    </row>
    <row r="363" spans="3:3" ht="15" customHeight="1">
      <c r="C363" s="10"/>
    </row>
    <row r="364" spans="3:3" ht="15" customHeight="1">
      <c r="C364" s="10"/>
    </row>
    <row r="365" spans="3:3" ht="15" customHeight="1">
      <c r="C365" s="10"/>
    </row>
    <row r="366" spans="3:3" ht="15" customHeight="1">
      <c r="C366" s="10"/>
    </row>
    <row r="367" spans="3:3" ht="15" customHeight="1">
      <c r="C367" s="10"/>
    </row>
    <row r="368" spans="3:3" ht="15" customHeight="1">
      <c r="C368" s="10"/>
    </row>
    <row r="369" spans="3:3" ht="15" customHeight="1">
      <c r="C369" s="10"/>
    </row>
    <row r="370" spans="3:3" ht="15" customHeight="1">
      <c r="C370" s="10"/>
    </row>
    <row r="371" spans="3:3" ht="15" customHeight="1">
      <c r="C371" s="10"/>
    </row>
    <row r="372" spans="3:3" ht="15" customHeight="1">
      <c r="C372" s="10"/>
    </row>
    <row r="373" spans="3:3" ht="15" customHeight="1">
      <c r="C373" s="10"/>
    </row>
    <row r="374" spans="3:3" ht="15" customHeight="1">
      <c r="C374" s="10"/>
    </row>
    <row r="375" spans="3:3" ht="15" customHeight="1">
      <c r="C375" s="10"/>
    </row>
    <row r="376" spans="3:3" ht="15" customHeight="1">
      <c r="C376" s="10"/>
    </row>
    <row r="377" spans="3:3" ht="15" customHeight="1">
      <c r="C377" s="10"/>
    </row>
    <row r="378" spans="3:3" ht="15" customHeight="1">
      <c r="C378" s="10"/>
    </row>
    <row r="379" spans="3:3" ht="15" customHeight="1">
      <c r="C379" s="10"/>
    </row>
    <row r="380" spans="3:3" ht="15" customHeight="1">
      <c r="C380" s="10"/>
    </row>
    <row r="381" spans="3:3" ht="15" customHeight="1">
      <c r="C381" s="10"/>
    </row>
    <row r="382" spans="3:3" ht="15" customHeight="1">
      <c r="C382" s="10"/>
    </row>
    <row r="383" spans="3:3" ht="15" customHeight="1">
      <c r="C383" s="10"/>
    </row>
    <row r="384" spans="3:3" ht="15" customHeight="1">
      <c r="C384" s="10"/>
    </row>
    <row r="385" spans="3:3" ht="15" customHeight="1">
      <c r="C385" s="10"/>
    </row>
    <row r="386" spans="3:3" ht="15" customHeight="1">
      <c r="C386" s="10"/>
    </row>
    <row r="387" spans="3:3" ht="15" customHeight="1">
      <c r="C387" s="10"/>
    </row>
    <row r="388" spans="3:3" ht="15" customHeight="1">
      <c r="C388" s="10"/>
    </row>
    <row r="389" spans="3:3" ht="15" customHeight="1">
      <c r="C389" s="10"/>
    </row>
    <row r="390" spans="3:3" ht="15" customHeight="1">
      <c r="C390" s="10"/>
    </row>
    <row r="391" spans="3:3" ht="15" customHeight="1">
      <c r="C391" s="10"/>
    </row>
    <row r="392" spans="3:3" ht="15" customHeight="1">
      <c r="C392" s="10"/>
    </row>
    <row r="393" spans="3:3" ht="15" customHeight="1">
      <c r="C393" s="10"/>
    </row>
    <row r="394" spans="3:3" ht="15" customHeight="1">
      <c r="C394" s="10"/>
    </row>
    <row r="395" spans="3:3" ht="15" customHeight="1">
      <c r="C395" s="10"/>
    </row>
    <row r="396" spans="3:3" ht="15" customHeight="1">
      <c r="C396" s="10"/>
    </row>
    <row r="397" spans="3:3" ht="15" customHeight="1">
      <c r="C397" s="10"/>
    </row>
    <row r="398" spans="3:3" ht="15" customHeight="1">
      <c r="C398" s="10"/>
    </row>
    <row r="399" spans="3:3" ht="15" customHeight="1">
      <c r="C399" s="10"/>
    </row>
    <row r="400" spans="3:3" ht="15" customHeight="1">
      <c r="C400" s="10"/>
    </row>
    <row r="401" spans="3:3" ht="15" customHeight="1">
      <c r="C401" s="10"/>
    </row>
    <row r="402" spans="3:3" ht="15" customHeight="1">
      <c r="C402" s="10"/>
    </row>
    <row r="403" spans="3:3" ht="15" customHeight="1">
      <c r="C403" s="10"/>
    </row>
    <row r="404" spans="3:3" ht="15" customHeight="1">
      <c r="C404" s="10"/>
    </row>
    <row r="405" spans="3:3" ht="15" customHeight="1">
      <c r="C405" s="10"/>
    </row>
    <row r="406" spans="3:3" ht="15" customHeight="1">
      <c r="C406" s="10"/>
    </row>
    <row r="407" spans="3:3" ht="15" customHeight="1">
      <c r="C407" s="10"/>
    </row>
    <row r="408" spans="3:3" ht="15" customHeight="1">
      <c r="C408" s="10"/>
    </row>
    <row r="409" spans="3:3" ht="15" customHeight="1">
      <c r="C409" s="10"/>
    </row>
    <row r="410" spans="3:3" ht="15" customHeight="1">
      <c r="C410" s="10"/>
    </row>
    <row r="411" spans="3:3" ht="15" customHeight="1">
      <c r="C411" s="10"/>
    </row>
    <row r="412" spans="3:3" ht="15" customHeight="1">
      <c r="C412" s="10"/>
    </row>
    <row r="413" spans="3:3" ht="15" customHeight="1">
      <c r="C413" s="10"/>
    </row>
    <row r="414" spans="3:3" ht="15" customHeight="1">
      <c r="C414" s="10"/>
    </row>
    <row r="415" spans="3:3" ht="15" customHeight="1">
      <c r="C415" s="10"/>
    </row>
    <row r="416" spans="3:3" ht="15" customHeight="1">
      <c r="C416" s="10"/>
    </row>
    <row r="417" spans="3:3" ht="15" customHeight="1">
      <c r="C417" s="10"/>
    </row>
    <row r="418" spans="3:3" ht="15" customHeight="1">
      <c r="C418" s="10"/>
    </row>
    <row r="419" spans="3:3" ht="15" customHeight="1">
      <c r="C419" s="10"/>
    </row>
    <row r="420" spans="3:3" ht="15" customHeight="1">
      <c r="C420" s="10"/>
    </row>
    <row r="421" spans="3:3" ht="15" customHeight="1">
      <c r="C421" s="10"/>
    </row>
    <row r="422" spans="3:3" ht="15" customHeight="1">
      <c r="C422" s="10"/>
    </row>
    <row r="423" spans="3:3" ht="15" customHeight="1">
      <c r="C423" s="10"/>
    </row>
    <row r="424" spans="3:3" ht="15" customHeight="1">
      <c r="C424" s="10"/>
    </row>
    <row r="425" spans="3:3" ht="15" customHeight="1">
      <c r="C425" s="10"/>
    </row>
    <row r="426" spans="3:3" ht="15" customHeight="1">
      <c r="C426" s="10"/>
    </row>
    <row r="427" spans="3:3" ht="15" customHeight="1">
      <c r="C427" s="10"/>
    </row>
    <row r="428" spans="3:3" ht="15" customHeight="1">
      <c r="C428" s="10"/>
    </row>
    <row r="429" spans="3:3" ht="15" customHeight="1">
      <c r="C429" s="10"/>
    </row>
    <row r="430" spans="3:3" ht="15" customHeight="1">
      <c r="C430" s="10"/>
    </row>
    <row r="431" spans="3:3" ht="15" customHeight="1">
      <c r="C431" s="10"/>
    </row>
    <row r="432" spans="3:3" ht="15" customHeight="1">
      <c r="C432" s="10"/>
    </row>
    <row r="433" spans="3:3" ht="15" customHeight="1">
      <c r="C433" s="10"/>
    </row>
    <row r="434" spans="3:3" ht="15" customHeight="1">
      <c r="C434" s="10"/>
    </row>
    <row r="435" spans="3:3" ht="15" customHeight="1">
      <c r="C435" s="10"/>
    </row>
    <row r="436" spans="3:3" ht="15" customHeight="1">
      <c r="C436" s="10"/>
    </row>
    <row r="437" spans="3:3" ht="15" customHeight="1">
      <c r="C437" s="10"/>
    </row>
    <row r="438" spans="3:3" ht="15" customHeight="1">
      <c r="C438" s="10"/>
    </row>
    <row r="439" spans="3:3" ht="15" customHeight="1">
      <c r="C439" s="10"/>
    </row>
    <row r="440" spans="3:3" ht="15" customHeight="1">
      <c r="C440" s="10"/>
    </row>
    <row r="441" spans="3:3" ht="15" customHeight="1">
      <c r="C441" s="10"/>
    </row>
    <row r="442" spans="3:3" ht="15" customHeight="1">
      <c r="C442" s="10"/>
    </row>
    <row r="443" spans="3:3" ht="15" customHeight="1">
      <c r="C443" s="10"/>
    </row>
    <row r="444" spans="3:3" ht="15" customHeight="1">
      <c r="C444" s="10"/>
    </row>
    <row r="445" spans="3:3" ht="15" customHeight="1">
      <c r="C445" s="10"/>
    </row>
    <row r="446" spans="3:3" ht="15" customHeight="1">
      <c r="C446" s="10"/>
    </row>
    <row r="447" spans="3:3" ht="15" customHeight="1">
      <c r="C447" s="10"/>
    </row>
    <row r="448" spans="3:3" ht="15" customHeight="1">
      <c r="C448" s="10"/>
    </row>
    <row r="449" spans="3:3" ht="15" customHeight="1">
      <c r="C449" s="10"/>
    </row>
    <row r="450" spans="3:3" ht="15" customHeight="1">
      <c r="C450" s="10"/>
    </row>
    <row r="451" spans="3:3" ht="15" customHeight="1">
      <c r="C451" s="10"/>
    </row>
    <row r="452" spans="3:3" ht="15" customHeight="1">
      <c r="C452" s="10"/>
    </row>
    <row r="453" spans="3:3" ht="15" customHeight="1">
      <c r="C453" s="10"/>
    </row>
    <row r="454" spans="3:3" ht="15" customHeight="1">
      <c r="C454" s="10"/>
    </row>
    <row r="455" spans="3:3" ht="15" customHeight="1">
      <c r="C455" s="10"/>
    </row>
    <row r="456" spans="3:3" ht="15" customHeight="1">
      <c r="C456" s="10"/>
    </row>
    <row r="457" spans="3:3" ht="15" customHeight="1">
      <c r="C457" s="10"/>
    </row>
    <row r="458" spans="3:3" ht="15" customHeight="1">
      <c r="C458" s="10"/>
    </row>
    <row r="459" spans="3:3" ht="15" customHeight="1">
      <c r="C459" s="10"/>
    </row>
    <row r="460" spans="3:3" ht="15" customHeight="1">
      <c r="C460" s="10"/>
    </row>
    <row r="461" spans="3:3" ht="15" customHeight="1">
      <c r="C461" s="10"/>
    </row>
    <row r="462" spans="3:3" ht="15" customHeight="1">
      <c r="C462" s="10"/>
    </row>
    <row r="463" spans="3:3" ht="15" customHeight="1">
      <c r="C463" s="10"/>
    </row>
    <row r="464" spans="3:3" ht="15" customHeight="1">
      <c r="C464" s="10"/>
    </row>
    <row r="465" spans="3:3" ht="15" customHeight="1">
      <c r="C465" s="10"/>
    </row>
    <row r="466" spans="3:3" ht="15" customHeight="1">
      <c r="C466" s="10"/>
    </row>
    <row r="467" spans="3:3" ht="15" customHeight="1">
      <c r="C467" s="10"/>
    </row>
    <row r="468" spans="3:3" ht="15" customHeight="1">
      <c r="C468" s="10"/>
    </row>
    <row r="469" spans="3:3" ht="15" customHeight="1">
      <c r="C469" s="10"/>
    </row>
    <row r="470" spans="3:3" ht="15" customHeight="1">
      <c r="C470" s="10"/>
    </row>
    <row r="471" spans="3:3" ht="15" customHeight="1">
      <c r="C471" s="10"/>
    </row>
    <row r="472" spans="3:3" ht="15" customHeight="1">
      <c r="C472" s="10"/>
    </row>
    <row r="473" spans="3:3" ht="15" customHeight="1">
      <c r="C473" s="10"/>
    </row>
    <row r="474" spans="3:3" ht="15" customHeight="1">
      <c r="C474" s="10"/>
    </row>
    <row r="475" spans="3:3" ht="15" customHeight="1">
      <c r="C475" s="10"/>
    </row>
    <row r="476" spans="3:3" ht="15" customHeight="1">
      <c r="C476" s="10"/>
    </row>
    <row r="477" spans="3:3" ht="15" customHeight="1">
      <c r="C477" s="10"/>
    </row>
    <row r="478" spans="3:3" ht="15" customHeight="1">
      <c r="C478" s="10"/>
    </row>
    <row r="479" spans="3:3" ht="15" customHeight="1">
      <c r="C479" s="10"/>
    </row>
    <row r="480" spans="3:3" ht="15" customHeight="1">
      <c r="C480" s="10"/>
    </row>
    <row r="481" spans="3:3" ht="15" customHeight="1">
      <c r="C481" s="10"/>
    </row>
    <row r="482" spans="3:3" ht="15" customHeight="1">
      <c r="C482" s="10"/>
    </row>
    <row r="483" spans="3:3" ht="15" customHeight="1">
      <c r="C483" s="10"/>
    </row>
    <row r="484" spans="3:3" ht="15" customHeight="1">
      <c r="C484" s="10"/>
    </row>
    <row r="485" spans="3:3" ht="15" customHeight="1">
      <c r="C485" s="10"/>
    </row>
    <row r="486" spans="3:3" ht="15" customHeight="1">
      <c r="C486" s="10"/>
    </row>
    <row r="487" spans="3:3" ht="15" customHeight="1">
      <c r="C487" s="10"/>
    </row>
    <row r="488" spans="3:3" ht="15" customHeight="1">
      <c r="C488" s="10"/>
    </row>
    <row r="489" spans="3:3" ht="15" customHeight="1">
      <c r="C489" s="10"/>
    </row>
    <row r="490" spans="3:3" ht="15" customHeight="1">
      <c r="C490" s="10"/>
    </row>
    <row r="491" spans="3:3" ht="15" customHeight="1">
      <c r="C491" s="10"/>
    </row>
    <row r="492" spans="3:3" ht="15" customHeight="1">
      <c r="C492" s="10"/>
    </row>
    <row r="493" spans="3:3" ht="15" customHeight="1">
      <c r="C493" s="10"/>
    </row>
    <row r="494" spans="3:3" ht="15" customHeight="1">
      <c r="C494" s="10"/>
    </row>
    <row r="495" spans="3:3" ht="15" customHeight="1">
      <c r="C495" s="10"/>
    </row>
    <row r="496" spans="3:3" ht="15" customHeight="1">
      <c r="C496" s="10"/>
    </row>
    <row r="497" spans="3:3" ht="15" customHeight="1">
      <c r="C497" s="10"/>
    </row>
    <row r="498" spans="3:3" ht="15" customHeight="1">
      <c r="C498" s="10"/>
    </row>
    <row r="499" spans="3:3" ht="15" customHeight="1">
      <c r="C499" s="10"/>
    </row>
    <row r="500" spans="3:3" ht="15" customHeight="1">
      <c r="C500" s="10"/>
    </row>
    <row r="501" spans="3:3" ht="15" customHeight="1">
      <c r="C501" s="10"/>
    </row>
    <row r="502" spans="3:3" ht="15" customHeight="1">
      <c r="C502" s="10"/>
    </row>
    <row r="503" spans="3:3" ht="15" customHeight="1">
      <c r="C503" s="10"/>
    </row>
    <row r="504" spans="3:3" ht="15" customHeight="1">
      <c r="C504" s="10"/>
    </row>
    <row r="505" spans="3:3" ht="15" customHeight="1">
      <c r="C505" s="10"/>
    </row>
    <row r="506" spans="3:3" ht="15" customHeight="1">
      <c r="C506" s="10"/>
    </row>
    <row r="507" spans="3:3" ht="15" customHeight="1">
      <c r="C507" s="10"/>
    </row>
    <row r="508" spans="3:3" ht="15" customHeight="1">
      <c r="C508" s="10"/>
    </row>
    <row r="509" spans="3:3" ht="15" customHeight="1">
      <c r="C509" s="10"/>
    </row>
    <row r="510" spans="3:3" ht="15" customHeight="1">
      <c r="C510" s="10"/>
    </row>
    <row r="511" spans="3:3" ht="15" customHeight="1">
      <c r="C511" s="10"/>
    </row>
    <row r="512" spans="3:3" ht="15" customHeight="1">
      <c r="C512" s="10"/>
    </row>
    <row r="513" spans="3:3" ht="15" customHeight="1">
      <c r="C513" s="10"/>
    </row>
    <row r="514" spans="3:3" ht="15" customHeight="1">
      <c r="C514" s="10"/>
    </row>
    <row r="515" spans="3:3" ht="15" customHeight="1">
      <c r="C515" s="10"/>
    </row>
    <row r="516" spans="3:3" ht="15" customHeight="1">
      <c r="C516" s="10"/>
    </row>
    <row r="517" spans="3:3" ht="15" customHeight="1">
      <c r="C517" s="10"/>
    </row>
    <row r="518" spans="3:3" ht="15" customHeight="1">
      <c r="C518" s="10"/>
    </row>
    <row r="519" spans="3:3" ht="15" customHeight="1">
      <c r="C519" s="10"/>
    </row>
    <row r="520" spans="3:3" ht="15" customHeight="1">
      <c r="C520" s="10"/>
    </row>
    <row r="521" spans="3:3" ht="15" customHeight="1">
      <c r="C521" s="10"/>
    </row>
    <row r="522" spans="3:3" ht="15" customHeight="1">
      <c r="C522" s="10"/>
    </row>
    <row r="523" spans="3:3" ht="15" customHeight="1">
      <c r="C523" s="10"/>
    </row>
    <row r="524" spans="3:3" ht="15" customHeight="1">
      <c r="C524" s="10"/>
    </row>
    <row r="525" spans="3:3" ht="15" customHeight="1">
      <c r="C525" s="10"/>
    </row>
    <row r="526" spans="3:3" ht="15" customHeight="1">
      <c r="C526" s="10"/>
    </row>
    <row r="527" spans="3:3" ht="15" customHeight="1">
      <c r="C527" s="10"/>
    </row>
    <row r="528" spans="3:3" ht="15" customHeight="1">
      <c r="C528" s="10"/>
    </row>
    <row r="529" spans="3:3" ht="15" customHeight="1">
      <c r="C529" s="10"/>
    </row>
    <row r="530" spans="3:3" ht="15" customHeight="1">
      <c r="C530" s="10"/>
    </row>
    <row r="531" spans="3:3" ht="15" customHeight="1">
      <c r="C531" s="10"/>
    </row>
    <row r="532" spans="3:3" ht="15" customHeight="1">
      <c r="C532" s="10"/>
    </row>
    <row r="533" spans="3:3" ht="15" customHeight="1">
      <c r="C533" s="10"/>
    </row>
    <row r="534" spans="3:3" ht="15" customHeight="1">
      <c r="C534" s="10"/>
    </row>
    <row r="535" spans="3:3" ht="15" customHeight="1">
      <c r="C535" s="10"/>
    </row>
    <row r="536" spans="3:3" ht="15" customHeight="1">
      <c r="C536" s="10"/>
    </row>
    <row r="537" spans="3:3" ht="15" customHeight="1">
      <c r="C537" s="10"/>
    </row>
    <row r="538" spans="3:3" ht="15" customHeight="1">
      <c r="C538" s="10"/>
    </row>
    <row r="539" spans="3:3" ht="15" customHeight="1">
      <c r="C539" s="10"/>
    </row>
    <row r="540" spans="3:3" ht="15" customHeight="1">
      <c r="C540" s="10"/>
    </row>
    <row r="541" spans="3:3" ht="15" customHeight="1">
      <c r="C541" s="10"/>
    </row>
    <row r="542" spans="3:3" ht="15" customHeight="1">
      <c r="C542" s="10"/>
    </row>
    <row r="543" spans="3:3" ht="15" customHeight="1">
      <c r="C543" s="10"/>
    </row>
    <row r="544" spans="3:3" ht="15" customHeight="1">
      <c r="C544" s="10"/>
    </row>
    <row r="545" spans="3:3" ht="15" customHeight="1">
      <c r="C545" s="10"/>
    </row>
    <row r="546" spans="3:3" ht="15" customHeight="1">
      <c r="C546" s="10"/>
    </row>
    <row r="547" spans="3:3" ht="15" customHeight="1">
      <c r="C547" s="10"/>
    </row>
    <row r="548" spans="3:3" ht="15" customHeight="1">
      <c r="C548" s="10"/>
    </row>
    <row r="549" spans="3:3" ht="15" customHeight="1">
      <c r="C549" s="10"/>
    </row>
    <row r="550" spans="3:3" ht="15" customHeight="1">
      <c r="C550" s="10"/>
    </row>
    <row r="551" spans="3:3" ht="15" customHeight="1">
      <c r="C551" s="10"/>
    </row>
    <row r="552" spans="3:3" ht="15" customHeight="1">
      <c r="C552" s="10"/>
    </row>
    <row r="553" spans="3:3" ht="15" customHeight="1">
      <c r="C553" s="10"/>
    </row>
    <row r="554" spans="3:3" ht="15" customHeight="1">
      <c r="C554" s="10"/>
    </row>
    <row r="555" spans="3:3" ht="15" customHeight="1">
      <c r="C555" s="10"/>
    </row>
    <row r="556" spans="3:3" ht="15" customHeight="1">
      <c r="C556" s="10"/>
    </row>
    <row r="557" spans="3:3" ht="15" customHeight="1">
      <c r="C557" s="10"/>
    </row>
    <row r="558" spans="3:3" ht="15" customHeight="1">
      <c r="C558" s="10"/>
    </row>
    <row r="559" spans="3:3" ht="15" customHeight="1">
      <c r="C559" s="10"/>
    </row>
    <row r="560" spans="3:3" ht="15" customHeight="1">
      <c r="C560" s="10"/>
    </row>
    <row r="561" spans="3:3" ht="15" customHeight="1">
      <c r="C561" s="10"/>
    </row>
    <row r="562" spans="3:3" ht="15" customHeight="1">
      <c r="C562" s="10"/>
    </row>
    <row r="563" spans="3:3" ht="15" customHeight="1">
      <c r="C563" s="10"/>
    </row>
    <row r="564" spans="3:3" ht="15" customHeight="1">
      <c r="C564" s="10"/>
    </row>
    <row r="565" spans="3:3" ht="15" customHeight="1">
      <c r="C565" s="10"/>
    </row>
    <row r="566" spans="3:3" ht="15" customHeight="1">
      <c r="C566" s="10"/>
    </row>
    <row r="567" spans="3:3" ht="15" customHeight="1">
      <c r="C567" s="10"/>
    </row>
    <row r="568" spans="3:3" ht="15" customHeight="1">
      <c r="C568" s="10"/>
    </row>
    <row r="569" spans="3:3" ht="15" customHeight="1">
      <c r="C569" s="10"/>
    </row>
    <row r="570" spans="3:3" ht="15" customHeight="1">
      <c r="C570" s="10"/>
    </row>
    <row r="571" spans="3:3" ht="15" customHeight="1">
      <c r="C571" s="10"/>
    </row>
    <row r="572" spans="3:3" ht="15" customHeight="1">
      <c r="C572" s="10"/>
    </row>
    <row r="573" spans="3:3" ht="15" customHeight="1">
      <c r="C573" s="10"/>
    </row>
    <row r="574" spans="3:3" ht="15" customHeight="1">
      <c r="C574" s="10"/>
    </row>
    <row r="575" spans="3:3" ht="15" customHeight="1">
      <c r="C575" s="10"/>
    </row>
    <row r="576" spans="3:3" ht="15" customHeight="1">
      <c r="C576" s="10"/>
    </row>
    <row r="577" spans="3:3" ht="15" customHeight="1">
      <c r="C577" s="10"/>
    </row>
    <row r="578" spans="3:3" ht="15" customHeight="1">
      <c r="C578" s="10"/>
    </row>
    <row r="579" spans="3:3" ht="15" customHeight="1">
      <c r="C579" s="10"/>
    </row>
    <row r="580" spans="3:3" ht="15" customHeight="1">
      <c r="C580" s="10"/>
    </row>
    <row r="581" spans="3:3" ht="15" customHeight="1">
      <c r="C581" s="10"/>
    </row>
    <row r="582" spans="3:3" ht="15" customHeight="1">
      <c r="C582" s="10"/>
    </row>
    <row r="583" spans="3:3" ht="15" customHeight="1">
      <c r="C583" s="10"/>
    </row>
    <row r="584" spans="3:3" ht="15" customHeight="1">
      <c r="C584" s="10"/>
    </row>
    <row r="585" spans="3:3" ht="15" customHeight="1">
      <c r="C585" s="10"/>
    </row>
    <row r="586" spans="3:3" ht="15" customHeight="1">
      <c r="C586" s="10"/>
    </row>
    <row r="587" spans="3:3" ht="15" customHeight="1">
      <c r="C587" s="10"/>
    </row>
    <row r="588" spans="3:3" ht="15" customHeight="1">
      <c r="C588" s="10"/>
    </row>
    <row r="589" spans="3:3" ht="15" customHeight="1">
      <c r="C589" s="10"/>
    </row>
    <row r="590" spans="3:3" ht="15" customHeight="1">
      <c r="C590" s="10"/>
    </row>
    <row r="591" spans="3:3" ht="15" customHeight="1">
      <c r="C591" s="10"/>
    </row>
    <row r="592" spans="3:3" ht="15" customHeight="1">
      <c r="C592" s="10"/>
    </row>
    <row r="593" spans="3:3" ht="15" customHeight="1">
      <c r="C593" s="10"/>
    </row>
    <row r="594" spans="3:3" ht="15" customHeight="1">
      <c r="C594" s="10"/>
    </row>
    <row r="595" spans="3:3" ht="15" customHeight="1">
      <c r="C595" s="10"/>
    </row>
    <row r="596" spans="3:3" ht="15" customHeight="1">
      <c r="C596" s="10"/>
    </row>
    <row r="597" spans="3:3" ht="15" customHeight="1">
      <c r="C597" s="10"/>
    </row>
    <row r="598" spans="3:3" ht="15" customHeight="1">
      <c r="C598" s="10"/>
    </row>
    <row r="599" spans="3:3" ht="15" customHeight="1">
      <c r="C599" s="10"/>
    </row>
    <row r="600" spans="3:3" ht="15" customHeight="1">
      <c r="C600" s="10"/>
    </row>
    <row r="601" spans="3:3" ht="15" customHeight="1">
      <c r="C601" s="10"/>
    </row>
    <row r="602" spans="3:3" ht="15" customHeight="1">
      <c r="C602" s="10"/>
    </row>
    <row r="603" spans="3:3" ht="15" customHeight="1">
      <c r="C603" s="10"/>
    </row>
    <row r="604" spans="3:3" ht="15" customHeight="1">
      <c r="C604" s="10"/>
    </row>
    <row r="605" spans="3:3" ht="15" customHeight="1">
      <c r="C605" s="10"/>
    </row>
    <row r="606" spans="3:3" ht="15" customHeight="1">
      <c r="C606" s="10"/>
    </row>
    <row r="607" spans="3:3" ht="15" customHeight="1">
      <c r="C607" s="10"/>
    </row>
    <row r="608" spans="3:3" ht="15" customHeight="1">
      <c r="C608" s="10"/>
    </row>
    <row r="609" spans="3:3" ht="15" customHeight="1">
      <c r="C609" s="10"/>
    </row>
    <row r="610" spans="3:3" ht="15" customHeight="1">
      <c r="C610" s="10"/>
    </row>
    <row r="611" spans="3:3" ht="15" customHeight="1">
      <c r="C611" s="10"/>
    </row>
    <row r="612" spans="3:3" ht="15" customHeight="1">
      <c r="C612" s="10"/>
    </row>
    <row r="613" spans="3:3" ht="15" customHeight="1">
      <c r="C613" s="10"/>
    </row>
    <row r="614" spans="3:3" ht="15" customHeight="1">
      <c r="C614" s="10"/>
    </row>
    <row r="615" spans="3:3" ht="15" customHeight="1">
      <c r="C615" s="10"/>
    </row>
    <row r="616" spans="3:3" ht="15" customHeight="1">
      <c r="C616" s="10"/>
    </row>
    <row r="617" spans="3:3" ht="15" customHeight="1">
      <c r="C617" s="10"/>
    </row>
    <row r="618" spans="3:3" ht="15" customHeight="1">
      <c r="C618" s="10"/>
    </row>
    <row r="619" spans="3:3" ht="15" customHeight="1">
      <c r="C619" s="10"/>
    </row>
    <row r="620" spans="3:3" ht="15" customHeight="1">
      <c r="C620" s="10"/>
    </row>
    <row r="621" spans="3:3" ht="15" customHeight="1">
      <c r="C621" s="10"/>
    </row>
    <row r="622" spans="3:3" ht="15" customHeight="1">
      <c r="C622" s="10"/>
    </row>
    <row r="623" spans="3:3" ht="15" customHeight="1">
      <c r="C623" s="10"/>
    </row>
    <row r="624" spans="3:3" ht="15" customHeight="1">
      <c r="C624" s="10"/>
    </row>
    <row r="625" spans="3:3" ht="15" customHeight="1">
      <c r="C625" s="10"/>
    </row>
    <row r="626" spans="3:3" ht="15" customHeight="1">
      <c r="C626" s="10"/>
    </row>
    <row r="627" spans="3:3" ht="15" customHeight="1">
      <c r="C627" s="10"/>
    </row>
    <row r="628" spans="3:3" ht="15" customHeight="1">
      <c r="C628" s="10"/>
    </row>
    <row r="629" spans="3:3" ht="15" customHeight="1">
      <c r="C629" s="10"/>
    </row>
    <row r="630" spans="3:3" ht="15" customHeight="1">
      <c r="C630" s="10"/>
    </row>
    <row r="631" spans="3:3" ht="15" customHeight="1">
      <c r="C631" s="10"/>
    </row>
    <row r="632" spans="3:3" ht="15" customHeight="1">
      <c r="C632" s="10"/>
    </row>
    <row r="633" spans="3:3" ht="15" customHeight="1">
      <c r="C633" s="10"/>
    </row>
    <row r="634" spans="3:3" ht="15" customHeight="1">
      <c r="C634" s="10"/>
    </row>
    <row r="635" spans="3:3" ht="15" customHeight="1">
      <c r="C635" s="10"/>
    </row>
    <row r="636" spans="3:3" ht="15" customHeight="1">
      <c r="C636" s="10"/>
    </row>
    <row r="637" spans="3:3" ht="15" customHeight="1">
      <c r="C637" s="10"/>
    </row>
    <row r="638" spans="3:3" ht="15" customHeight="1">
      <c r="C638" s="10"/>
    </row>
    <row r="639" spans="3:3" ht="15" customHeight="1">
      <c r="C639" s="10"/>
    </row>
    <row r="640" spans="3:3" ht="15" customHeight="1">
      <c r="C640" s="10"/>
    </row>
    <row r="641" spans="3:3" ht="15" customHeight="1">
      <c r="C641" s="10"/>
    </row>
    <row r="642" spans="3:3" ht="15" customHeight="1">
      <c r="C642" s="10"/>
    </row>
    <row r="643" spans="3:3" ht="15" customHeight="1">
      <c r="C643" s="10"/>
    </row>
    <row r="644" spans="3:3" ht="15" customHeight="1">
      <c r="C644" s="10"/>
    </row>
    <row r="645" spans="3:3" ht="15" customHeight="1">
      <c r="C645" s="10"/>
    </row>
    <row r="646" spans="3:3" ht="15" customHeight="1">
      <c r="C646" s="10"/>
    </row>
    <row r="647" spans="3:3" ht="15" customHeight="1">
      <c r="C647" s="10"/>
    </row>
    <row r="648" spans="3:3" ht="15" customHeight="1">
      <c r="C648" s="10"/>
    </row>
    <row r="649" spans="3:3" ht="15" customHeight="1">
      <c r="C649" s="10"/>
    </row>
    <row r="650" spans="3:3" ht="15" customHeight="1">
      <c r="C650" s="10"/>
    </row>
    <row r="651" spans="3:3" ht="15" customHeight="1">
      <c r="C651" s="10"/>
    </row>
    <row r="652" spans="3:3" ht="15" customHeight="1">
      <c r="C652" s="10"/>
    </row>
    <row r="653" spans="3:3" ht="15" customHeight="1">
      <c r="C653" s="10"/>
    </row>
    <row r="654" spans="3:3" ht="15" customHeight="1">
      <c r="C654" s="10"/>
    </row>
    <row r="655" spans="3:3" ht="15" customHeight="1">
      <c r="C655" s="10"/>
    </row>
    <row r="656" spans="3:3" ht="15" customHeight="1">
      <c r="C656" s="10"/>
    </row>
    <row r="657" spans="3:3" ht="15" customHeight="1">
      <c r="C657" s="10"/>
    </row>
    <row r="658" spans="3:3" ht="15" customHeight="1">
      <c r="C658" s="10"/>
    </row>
    <row r="659" spans="3:3" ht="15" customHeight="1">
      <c r="C659" s="10"/>
    </row>
    <row r="660" spans="3:3" ht="15" customHeight="1">
      <c r="C660" s="10"/>
    </row>
    <row r="661" spans="3:3" ht="15" customHeight="1">
      <c r="C661" s="10"/>
    </row>
    <row r="662" spans="3:3" ht="15" customHeight="1">
      <c r="C662" s="10"/>
    </row>
    <row r="663" spans="3:3" ht="15" customHeight="1">
      <c r="C663" s="10"/>
    </row>
    <row r="664" spans="3:3" ht="15" customHeight="1">
      <c r="C664" s="10"/>
    </row>
    <row r="665" spans="3:3" ht="15" customHeight="1">
      <c r="C665" s="10"/>
    </row>
    <row r="666" spans="3:3" ht="15" customHeight="1">
      <c r="C666" s="10"/>
    </row>
    <row r="667" spans="3:3" ht="15" customHeight="1">
      <c r="C667" s="10"/>
    </row>
    <row r="668" spans="3:3" ht="15" customHeight="1">
      <c r="C668" s="10"/>
    </row>
    <row r="669" spans="3:3" ht="15" customHeight="1">
      <c r="C669" s="10"/>
    </row>
    <row r="670" spans="3:3" ht="15" customHeight="1">
      <c r="C670" s="10"/>
    </row>
    <row r="671" spans="3:3" ht="15" customHeight="1">
      <c r="C671" s="10"/>
    </row>
    <row r="672" spans="3:3" ht="15" customHeight="1">
      <c r="C672" s="10"/>
    </row>
    <row r="673" spans="3:3" ht="15" customHeight="1">
      <c r="C673" s="10"/>
    </row>
    <row r="674" spans="3:3" ht="15" customHeight="1">
      <c r="C674" s="10"/>
    </row>
    <row r="675" spans="3:3" ht="15" customHeight="1">
      <c r="C675" s="10"/>
    </row>
    <row r="676" spans="3:3" ht="15" customHeight="1">
      <c r="C676" s="10"/>
    </row>
    <row r="677" spans="3:3" ht="15" customHeight="1">
      <c r="C677" s="10"/>
    </row>
    <row r="678" spans="3:3" ht="15" customHeight="1">
      <c r="C678" s="10"/>
    </row>
    <row r="679" spans="3:3" ht="15" customHeight="1">
      <c r="C679" s="10"/>
    </row>
    <row r="680" spans="3:3" ht="15" customHeight="1">
      <c r="C680" s="10"/>
    </row>
    <row r="681" spans="3:3" ht="15" customHeight="1">
      <c r="C681" s="10"/>
    </row>
    <row r="682" spans="3:3" ht="15" customHeight="1">
      <c r="C682" s="10"/>
    </row>
    <row r="683" spans="3:3" ht="15" customHeight="1">
      <c r="C683" s="10"/>
    </row>
    <row r="684" spans="3:3" ht="15" customHeight="1">
      <c r="C684" s="10"/>
    </row>
    <row r="685" spans="3:3" ht="15" customHeight="1">
      <c r="C685" s="10"/>
    </row>
    <row r="686" spans="3:3" ht="15" customHeight="1">
      <c r="C686" s="10"/>
    </row>
    <row r="687" spans="3:3" ht="15" customHeight="1">
      <c r="C687" s="10"/>
    </row>
    <row r="688" spans="3:3" ht="15" customHeight="1">
      <c r="C688" s="10"/>
    </row>
    <row r="689" spans="3:3" ht="15" customHeight="1">
      <c r="C689" s="10"/>
    </row>
    <row r="690" spans="3:3" ht="15" customHeight="1">
      <c r="C690" s="10"/>
    </row>
    <row r="691" spans="3:3" ht="15" customHeight="1">
      <c r="C691" s="10"/>
    </row>
    <row r="692" spans="3:3" ht="15" customHeight="1">
      <c r="C692" s="10"/>
    </row>
    <row r="693" spans="3:3" ht="15" customHeight="1">
      <c r="C693" s="10"/>
    </row>
    <row r="694" spans="3:3" ht="15" customHeight="1">
      <c r="C694" s="10"/>
    </row>
    <row r="695" spans="3:3" ht="15" customHeight="1">
      <c r="C695" s="10"/>
    </row>
    <row r="696" spans="3:3" ht="15" customHeight="1">
      <c r="C696" s="10"/>
    </row>
    <row r="697" spans="3:3" ht="15" customHeight="1">
      <c r="C697" s="10"/>
    </row>
    <row r="698" spans="3:3" ht="15" customHeight="1">
      <c r="C698" s="10"/>
    </row>
    <row r="699" spans="3:3" ht="15" customHeight="1">
      <c r="C699" s="10"/>
    </row>
    <row r="700" spans="3:3" ht="15" customHeight="1">
      <c r="C700" s="10"/>
    </row>
    <row r="701" spans="3:3" ht="15" customHeight="1">
      <c r="C701" s="10"/>
    </row>
    <row r="702" spans="3:3" ht="15" customHeight="1">
      <c r="C702" s="10"/>
    </row>
    <row r="703" spans="3:3" ht="15" customHeight="1">
      <c r="C703" s="10"/>
    </row>
    <row r="704" spans="3:3" ht="15" customHeight="1">
      <c r="C704" s="10"/>
    </row>
    <row r="705" spans="3:3" ht="15" customHeight="1">
      <c r="C705" s="10"/>
    </row>
    <row r="706" spans="3:3" ht="15" customHeight="1">
      <c r="C706" s="10"/>
    </row>
    <row r="707" spans="3:3" ht="15" customHeight="1">
      <c r="C707" s="10"/>
    </row>
    <row r="708" spans="3:3" ht="15" customHeight="1">
      <c r="C708" s="10"/>
    </row>
    <row r="709" spans="3:3" ht="15" customHeight="1">
      <c r="C709" s="10"/>
    </row>
    <row r="710" spans="3:3" ht="15" customHeight="1">
      <c r="C710" s="10"/>
    </row>
    <row r="711" spans="3:3" ht="15" customHeight="1">
      <c r="C711" s="10"/>
    </row>
    <row r="712" spans="3:3" ht="15" customHeight="1">
      <c r="C712" s="10"/>
    </row>
    <row r="713" spans="3:3" ht="15" customHeight="1">
      <c r="C713" s="10"/>
    </row>
    <row r="714" spans="3:3" ht="15" customHeight="1">
      <c r="C714" s="10"/>
    </row>
    <row r="715" spans="3:3" ht="15" customHeight="1">
      <c r="C715" s="10"/>
    </row>
    <row r="716" spans="3:3" ht="15" customHeight="1">
      <c r="C716" s="10"/>
    </row>
    <row r="717" spans="3:3" ht="15" customHeight="1">
      <c r="C717" s="10"/>
    </row>
    <row r="718" spans="3:3" ht="15" customHeight="1">
      <c r="C718" s="10"/>
    </row>
    <row r="719" spans="3:3" ht="15" customHeight="1">
      <c r="C719" s="10"/>
    </row>
    <row r="720" spans="3:3" ht="15" customHeight="1">
      <c r="C720" s="10"/>
    </row>
    <row r="721" spans="3:3" ht="15" customHeight="1">
      <c r="C721" s="10"/>
    </row>
    <row r="722" spans="3:3" ht="15" customHeight="1">
      <c r="C722" s="10"/>
    </row>
    <row r="723" spans="3:3" ht="15" customHeight="1">
      <c r="C723" s="10"/>
    </row>
    <row r="724" spans="3:3" ht="15" customHeight="1">
      <c r="C724" s="10"/>
    </row>
    <row r="725" spans="3:3" ht="15" customHeight="1">
      <c r="C725" s="10"/>
    </row>
    <row r="726" spans="3:3" ht="15" customHeight="1">
      <c r="C726" s="10"/>
    </row>
    <row r="727" spans="3:3" ht="15" customHeight="1">
      <c r="C727" s="10"/>
    </row>
    <row r="728" spans="3:3" ht="15" customHeight="1">
      <c r="C728" s="10"/>
    </row>
    <row r="729" spans="3:3" ht="15" customHeight="1">
      <c r="C729" s="10"/>
    </row>
    <row r="730" spans="3:3" ht="15" customHeight="1">
      <c r="C730" s="10"/>
    </row>
    <row r="731" spans="3:3" ht="15" customHeight="1">
      <c r="C731" s="10"/>
    </row>
    <row r="732" spans="3:3" ht="15" customHeight="1">
      <c r="C732" s="10"/>
    </row>
    <row r="733" spans="3:3" ht="15" customHeight="1">
      <c r="C733" s="10"/>
    </row>
    <row r="734" spans="3:3" ht="15" customHeight="1">
      <c r="C734" s="10"/>
    </row>
    <row r="735" spans="3:3" ht="15" customHeight="1">
      <c r="C735" s="10"/>
    </row>
    <row r="736" spans="3:3" ht="15" customHeight="1">
      <c r="C736" s="10"/>
    </row>
    <row r="737" spans="3:3" ht="15" customHeight="1">
      <c r="C737" s="10"/>
    </row>
    <row r="738" spans="3:3" ht="15" customHeight="1">
      <c r="C738" s="10"/>
    </row>
    <row r="739" spans="3:3" ht="15" customHeight="1">
      <c r="C739" s="10"/>
    </row>
    <row r="740" spans="3:3" ht="15" customHeight="1">
      <c r="C740" s="10"/>
    </row>
    <row r="741" spans="3:3" ht="15" customHeight="1">
      <c r="C741" s="10"/>
    </row>
    <row r="742" spans="3:3" ht="15" customHeight="1">
      <c r="C742" s="10"/>
    </row>
    <row r="743" spans="3:3" ht="15" customHeight="1">
      <c r="C743" s="10"/>
    </row>
    <row r="744" spans="3:3" ht="15" customHeight="1">
      <c r="C744" s="10"/>
    </row>
    <row r="745" spans="3:3" ht="15" customHeight="1">
      <c r="C745" s="10"/>
    </row>
    <row r="746" spans="3:3" ht="15" customHeight="1">
      <c r="C746" s="10"/>
    </row>
    <row r="747" spans="3:3" ht="15" customHeight="1">
      <c r="C747" s="10"/>
    </row>
    <row r="748" spans="3:3" ht="15" customHeight="1">
      <c r="C748" s="10"/>
    </row>
    <row r="749" spans="3:3" ht="15" customHeight="1">
      <c r="C749" s="10"/>
    </row>
    <row r="750" spans="3:3" ht="15" customHeight="1">
      <c r="C750" s="10"/>
    </row>
    <row r="751" spans="3:3" ht="15" customHeight="1">
      <c r="C751" s="10"/>
    </row>
    <row r="752" spans="3:3" ht="15" customHeight="1">
      <c r="C752" s="10"/>
    </row>
    <row r="753" spans="3:3" ht="15" customHeight="1">
      <c r="C753" s="10"/>
    </row>
    <row r="754" spans="3:3" ht="15" customHeight="1">
      <c r="C754" s="10"/>
    </row>
    <row r="755" spans="3:3" ht="15" customHeight="1">
      <c r="C755" s="10"/>
    </row>
    <row r="756" spans="3:3" ht="15" customHeight="1">
      <c r="C756" s="10"/>
    </row>
    <row r="757" spans="3:3" ht="15" customHeight="1">
      <c r="C757" s="10"/>
    </row>
    <row r="758" spans="3:3" ht="15" customHeight="1">
      <c r="C758" s="10"/>
    </row>
    <row r="759" spans="3:3" ht="15" customHeight="1">
      <c r="C759" s="10"/>
    </row>
    <row r="760" spans="3:3" ht="15" customHeight="1">
      <c r="C760" s="10"/>
    </row>
    <row r="761" spans="3:3" ht="15" customHeight="1">
      <c r="C761" s="10"/>
    </row>
    <row r="762" spans="3:3" ht="15" customHeight="1">
      <c r="C762" s="10"/>
    </row>
    <row r="763" spans="3:3" ht="15" customHeight="1">
      <c r="C763" s="10"/>
    </row>
    <row r="764" spans="3:3" ht="15" customHeight="1">
      <c r="C764" s="10"/>
    </row>
    <row r="765" spans="3:3" ht="15" customHeight="1">
      <c r="C765" s="10"/>
    </row>
    <row r="766" spans="3:3" ht="15" customHeight="1">
      <c r="C766" s="10"/>
    </row>
    <row r="767" spans="3:3" ht="15" customHeight="1">
      <c r="C767" s="10"/>
    </row>
    <row r="768" spans="3:3" ht="15" customHeight="1">
      <c r="C768" s="10"/>
    </row>
    <row r="769" spans="3:3" ht="15" customHeight="1">
      <c r="C769" s="10"/>
    </row>
    <row r="770" spans="3:3" ht="15" customHeight="1">
      <c r="C770" s="10"/>
    </row>
    <row r="771" spans="3:3" ht="15" customHeight="1">
      <c r="C771" s="10"/>
    </row>
    <row r="772" spans="3:3" ht="15" customHeight="1">
      <c r="C772" s="10"/>
    </row>
    <row r="773" spans="3:3" ht="15" customHeight="1">
      <c r="C773" s="10"/>
    </row>
    <row r="774" spans="3:3" ht="15" customHeight="1">
      <c r="C774" s="10"/>
    </row>
    <row r="775" spans="3:3" ht="15" customHeight="1">
      <c r="C775" s="10"/>
    </row>
    <row r="776" spans="3:3" ht="15" customHeight="1">
      <c r="C776" s="10"/>
    </row>
    <row r="777" spans="3:3" ht="15" customHeight="1">
      <c r="C777" s="10"/>
    </row>
    <row r="778" spans="3:3" ht="15" customHeight="1">
      <c r="C778" s="10"/>
    </row>
    <row r="779" spans="3:3" ht="15" customHeight="1">
      <c r="C779" s="10"/>
    </row>
    <row r="780" spans="3:3" ht="15" customHeight="1">
      <c r="C780" s="10"/>
    </row>
    <row r="781" spans="3:3" ht="15" customHeight="1">
      <c r="C781" s="10"/>
    </row>
    <row r="782" spans="3:3" ht="15" customHeight="1">
      <c r="C782" s="10"/>
    </row>
    <row r="783" spans="3:3" ht="15" customHeight="1">
      <c r="C783" s="10"/>
    </row>
    <row r="784" spans="3:3" ht="15" customHeight="1">
      <c r="C784" s="10"/>
    </row>
    <row r="785" spans="3:3" ht="15" customHeight="1">
      <c r="C785" s="10"/>
    </row>
    <row r="786" spans="3:3" ht="15" customHeight="1">
      <c r="C786" s="10"/>
    </row>
    <row r="787" spans="3:3" ht="15" customHeight="1">
      <c r="C787" s="10"/>
    </row>
    <row r="788" spans="3:3" ht="15" customHeight="1">
      <c r="C788" s="10"/>
    </row>
    <row r="789" spans="3:3" ht="15" customHeight="1">
      <c r="C789" s="10"/>
    </row>
    <row r="790" spans="3:3" ht="15" customHeight="1">
      <c r="C790" s="10"/>
    </row>
    <row r="791" spans="3:3" ht="15" customHeight="1">
      <c r="C791" s="10"/>
    </row>
    <row r="792" spans="3:3" ht="15" customHeight="1">
      <c r="C792" s="10"/>
    </row>
    <row r="793" spans="3:3" ht="15" customHeight="1">
      <c r="C793" s="10"/>
    </row>
    <row r="794" spans="3:3" ht="15" customHeight="1">
      <c r="C794" s="10"/>
    </row>
    <row r="795" spans="3:3" ht="15" customHeight="1">
      <c r="C795" s="10"/>
    </row>
    <row r="796" spans="3:3" ht="15" customHeight="1">
      <c r="C796" s="10"/>
    </row>
    <row r="797" spans="3:3" ht="15" customHeight="1">
      <c r="C797" s="10"/>
    </row>
    <row r="798" spans="3:3" ht="15" customHeight="1">
      <c r="C798" s="10"/>
    </row>
    <row r="799" spans="3:3" ht="15" customHeight="1">
      <c r="C799" s="10"/>
    </row>
    <row r="800" spans="3:3" ht="15" customHeight="1">
      <c r="C800" s="10"/>
    </row>
    <row r="801" spans="3:3" ht="15" customHeight="1">
      <c r="C801" s="10"/>
    </row>
    <row r="802" spans="3:3" ht="15" customHeight="1">
      <c r="C802" s="10"/>
    </row>
    <row r="803" spans="3:3" ht="15" customHeight="1">
      <c r="C803" s="10"/>
    </row>
    <row r="804" spans="3:3" ht="15" customHeight="1">
      <c r="C804" s="10"/>
    </row>
    <row r="805" spans="3:3" ht="15" customHeight="1">
      <c r="C805" s="10"/>
    </row>
    <row r="806" spans="3:3" ht="15" customHeight="1">
      <c r="C806" s="10"/>
    </row>
    <row r="807" spans="3:3" ht="15" customHeight="1">
      <c r="C807" s="10"/>
    </row>
    <row r="808" spans="3:3" ht="15" customHeight="1">
      <c r="C808" s="10"/>
    </row>
    <row r="809" spans="3:3" ht="15" customHeight="1">
      <c r="C809" s="10"/>
    </row>
    <row r="810" spans="3:3" ht="15" customHeight="1">
      <c r="C810" s="10"/>
    </row>
    <row r="811" spans="3:3" ht="15" customHeight="1">
      <c r="C811" s="10"/>
    </row>
    <row r="812" spans="3:3" ht="15" customHeight="1">
      <c r="C812" s="10"/>
    </row>
    <row r="813" spans="3:3" ht="15" customHeight="1">
      <c r="C813" s="10"/>
    </row>
    <row r="814" spans="3:3" ht="15" customHeight="1">
      <c r="C814" s="10"/>
    </row>
    <row r="815" spans="3:3" ht="15" customHeight="1">
      <c r="C815" s="10"/>
    </row>
    <row r="816" spans="3:3" ht="15" customHeight="1">
      <c r="C816" s="10"/>
    </row>
    <row r="817" spans="3:3" ht="15" customHeight="1">
      <c r="C817" s="10"/>
    </row>
    <row r="818" spans="3:3" ht="15" customHeight="1">
      <c r="C818" s="10"/>
    </row>
    <row r="819" spans="3:3" ht="15" customHeight="1">
      <c r="C819" s="10"/>
    </row>
    <row r="820" spans="3:3" ht="15" customHeight="1">
      <c r="C820" s="10"/>
    </row>
    <row r="821" spans="3:3" ht="15" customHeight="1">
      <c r="C821" s="10"/>
    </row>
    <row r="822" spans="3:3" ht="15" customHeight="1">
      <c r="C822" s="10"/>
    </row>
    <row r="823" spans="3:3" ht="15" customHeight="1">
      <c r="C823" s="10"/>
    </row>
    <row r="824" spans="3:3" ht="15" customHeight="1">
      <c r="C824" s="10"/>
    </row>
    <row r="825" spans="3:3" ht="15" customHeight="1">
      <c r="C825" s="10"/>
    </row>
    <row r="826" spans="3:3" ht="15" customHeight="1">
      <c r="C826" s="10"/>
    </row>
    <row r="827" spans="3:3" ht="15" customHeight="1">
      <c r="C827" s="10"/>
    </row>
    <row r="828" spans="3:3" ht="15" customHeight="1">
      <c r="C828" s="10"/>
    </row>
    <row r="829" spans="3:3" ht="15" customHeight="1">
      <c r="C829" s="10"/>
    </row>
    <row r="830" spans="3:3" ht="15" customHeight="1">
      <c r="C830" s="10"/>
    </row>
    <row r="831" spans="3:3" ht="15" customHeight="1">
      <c r="C831" s="10"/>
    </row>
    <row r="832" spans="3:3" ht="15" customHeight="1">
      <c r="C832" s="10"/>
    </row>
    <row r="833" spans="3:3" ht="15" customHeight="1">
      <c r="C833" s="10"/>
    </row>
    <row r="834" spans="3:3" ht="15" customHeight="1">
      <c r="C834" s="10"/>
    </row>
    <row r="835" spans="3:3" ht="15" customHeight="1">
      <c r="C835" s="10"/>
    </row>
    <row r="836" spans="3:3" ht="15" customHeight="1">
      <c r="C836" s="10"/>
    </row>
    <row r="837" spans="3:3" ht="15" customHeight="1">
      <c r="C837" s="10"/>
    </row>
    <row r="838" spans="3:3" ht="15" customHeight="1">
      <c r="C838" s="10"/>
    </row>
    <row r="839" spans="3:3" ht="15" customHeight="1">
      <c r="C839" s="10"/>
    </row>
    <row r="840" spans="3:3" ht="15" customHeight="1">
      <c r="C840" s="10"/>
    </row>
    <row r="841" spans="3:3" ht="15" customHeight="1">
      <c r="C841" s="10"/>
    </row>
    <row r="842" spans="3:3" ht="15" customHeight="1">
      <c r="C842" s="10"/>
    </row>
    <row r="843" spans="3:3" ht="15" customHeight="1">
      <c r="C843" s="10"/>
    </row>
    <row r="844" spans="3:3" ht="15" customHeight="1">
      <c r="C844" s="10"/>
    </row>
    <row r="845" spans="3:3" ht="15" customHeight="1">
      <c r="C845" s="10"/>
    </row>
    <row r="846" spans="3:3" ht="15" customHeight="1">
      <c r="C846" s="10"/>
    </row>
    <row r="847" spans="3:3" ht="15" customHeight="1">
      <c r="C847" s="10"/>
    </row>
    <row r="848" spans="3:3" ht="15" customHeight="1">
      <c r="C848" s="10"/>
    </row>
    <row r="849" spans="3:3" ht="15" customHeight="1">
      <c r="C849" s="10"/>
    </row>
    <row r="850" spans="3:3" ht="15" customHeight="1">
      <c r="C850" s="10"/>
    </row>
    <row r="851" spans="3:3" ht="15" customHeight="1">
      <c r="C851" s="10"/>
    </row>
    <row r="852" spans="3:3" ht="15" customHeight="1">
      <c r="C852" s="10"/>
    </row>
    <row r="853" spans="3:3" ht="15" customHeight="1">
      <c r="C853" s="10"/>
    </row>
    <row r="854" spans="3:3" ht="15" customHeight="1">
      <c r="C854" s="10"/>
    </row>
    <row r="855" spans="3:3" ht="15" customHeight="1">
      <c r="C855" s="10"/>
    </row>
    <row r="856" spans="3:3" ht="15" customHeight="1">
      <c r="C856" s="10"/>
    </row>
    <row r="857" spans="3:3" ht="15" customHeight="1">
      <c r="C857" s="10"/>
    </row>
    <row r="858" spans="3:3" ht="15" customHeight="1">
      <c r="C858" s="10"/>
    </row>
    <row r="859" spans="3:3" ht="15" customHeight="1">
      <c r="C859" s="10"/>
    </row>
    <row r="860" spans="3:3" ht="15" customHeight="1">
      <c r="C860" s="10"/>
    </row>
    <row r="861" spans="3:3" ht="15" customHeight="1">
      <c r="C861" s="10"/>
    </row>
    <row r="862" spans="3:3" ht="15" customHeight="1">
      <c r="C862" s="10"/>
    </row>
    <row r="863" spans="3:3" ht="15" customHeight="1">
      <c r="C863" s="10"/>
    </row>
    <row r="864" spans="3:3" ht="15" customHeight="1">
      <c r="C864" s="10"/>
    </row>
    <row r="865" spans="3:3" ht="15" customHeight="1">
      <c r="C865" s="10"/>
    </row>
    <row r="866" spans="3:3" ht="15" customHeight="1">
      <c r="C866" s="10"/>
    </row>
    <row r="867" spans="3:3" ht="15" customHeight="1">
      <c r="C867" s="10"/>
    </row>
    <row r="868" spans="3:3" ht="15" customHeight="1">
      <c r="C868" s="10"/>
    </row>
    <row r="869" spans="3:3" ht="15" customHeight="1">
      <c r="C869" s="10"/>
    </row>
    <row r="870" spans="3:3" ht="15" customHeight="1">
      <c r="C870" s="10"/>
    </row>
    <row r="871" spans="3:3" ht="15" customHeight="1">
      <c r="C871" s="10"/>
    </row>
    <row r="872" spans="3:3" ht="15" customHeight="1">
      <c r="C872" s="10"/>
    </row>
    <row r="873" spans="3:3" ht="15" customHeight="1">
      <c r="C873" s="10"/>
    </row>
    <row r="874" spans="3:3" ht="15" customHeight="1">
      <c r="C874" s="10"/>
    </row>
    <row r="875" spans="3:3" ht="15" customHeight="1">
      <c r="C875" s="10"/>
    </row>
    <row r="876" spans="3:3" ht="15" customHeight="1">
      <c r="C876" s="10"/>
    </row>
    <row r="877" spans="3:3" ht="15" customHeight="1">
      <c r="C877" s="10"/>
    </row>
    <row r="878" spans="3:3" ht="15" customHeight="1">
      <c r="C878" s="10"/>
    </row>
    <row r="879" spans="3:3" ht="15" customHeight="1">
      <c r="C879" s="10"/>
    </row>
    <row r="880" spans="3:3" ht="15" customHeight="1">
      <c r="C880" s="10"/>
    </row>
    <row r="881" spans="3:3" ht="15" customHeight="1">
      <c r="C881" s="10"/>
    </row>
    <row r="882" spans="3:3" ht="15" customHeight="1">
      <c r="C882" s="10"/>
    </row>
    <row r="883" spans="3:3" ht="15" customHeight="1">
      <c r="C883" s="10"/>
    </row>
    <row r="884" spans="3:3" ht="15" customHeight="1">
      <c r="C884" s="10"/>
    </row>
    <row r="885" spans="3:3" ht="15" customHeight="1">
      <c r="C885" s="10"/>
    </row>
    <row r="886" spans="3:3" ht="15" customHeight="1">
      <c r="C886" s="10"/>
    </row>
    <row r="887" spans="3:3" ht="15" customHeight="1">
      <c r="C887" s="10"/>
    </row>
    <row r="888" spans="3:3" ht="15" customHeight="1">
      <c r="C888" s="10"/>
    </row>
    <row r="889" spans="3:3" ht="15" customHeight="1">
      <c r="C889" s="10"/>
    </row>
    <row r="890" spans="3:3" ht="15" customHeight="1">
      <c r="C890" s="10"/>
    </row>
    <row r="891" spans="3:3" ht="15" customHeight="1">
      <c r="C891" s="10"/>
    </row>
    <row r="892" spans="3:3" ht="15" customHeight="1">
      <c r="C892" s="10"/>
    </row>
    <row r="893" spans="3:3" ht="15" customHeight="1">
      <c r="C893" s="10"/>
    </row>
    <row r="894" spans="3:3" ht="15" customHeight="1">
      <c r="C894" s="10"/>
    </row>
    <row r="895" spans="3:3" ht="15" customHeight="1">
      <c r="C895" s="10"/>
    </row>
    <row r="896" spans="3:3" ht="15" customHeight="1">
      <c r="C896" s="10"/>
    </row>
    <row r="897" spans="3:3" ht="15" customHeight="1">
      <c r="C897" s="10"/>
    </row>
    <row r="898" spans="3:3" ht="15" customHeight="1">
      <c r="C898" s="10"/>
    </row>
    <row r="899" spans="3:3" ht="15" customHeight="1">
      <c r="C899" s="10"/>
    </row>
    <row r="900" spans="3:3" ht="15" customHeight="1">
      <c r="C900" s="10"/>
    </row>
    <row r="901" spans="3:3" ht="15" customHeight="1">
      <c r="C901" s="10"/>
    </row>
    <row r="902" spans="3:3" ht="15" customHeight="1">
      <c r="C902" s="10"/>
    </row>
    <row r="903" spans="3:3" ht="15" customHeight="1">
      <c r="C903" s="10"/>
    </row>
    <row r="904" spans="3:3" ht="15" customHeight="1">
      <c r="C904" s="10"/>
    </row>
    <row r="905" spans="3:3" ht="15" customHeight="1">
      <c r="C905" s="10"/>
    </row>
    <row r="906" spans="3:3" ht="15" customHeight="1">
      <c r="C906" s="10"/>
    </row>
    <row r="907" spans="3:3" ht="15" customHeight="1">
      <c r="C907" s="10"/>
    </row>
    <row r="908" spans="3:3" ht="15" customHeight="1">
      <c r="C908" s="10"/>
    </row>
    <row r="909" spans="3:3" ht="15" customHeight="1">
      <c r="C909" s="10"/>
    </row>
    <row r="910" spans="3:3" ht="15" customHeight="1">
      <c r="C910" s="10"/>
    </row>
    <row r="911" spans="3:3" ht="15" customHeight="1">
      <c r="C911" s="10"/>
    </row>
    <row r="912" spans="3:3" ht="15" customHeight="1">
      <c r="C912" s="10"/>
    </row>
    <row r="913" spans="3:3" ht="15" customHeight="1">
      <c r="C913" s="10"/>
    </row>
    <row r="914" spans="3:3" ht="15" customHeight="1">
      <c r="C914" s="10"/>
    </row>
    <row r="915" spans="3:3" ht="15" customHeight="1">
      <c r="C915" s="10"/>
    </row>
    <row r="916" spans="3:3" ht="15" customHeight="1">
      <c r="C916" s="10"/>
    </row>
    <row r="917" spans="3:3" ht="15" customHeight="1">
      <c r="C917" s="10"/>
    </row>
    <row r="918" spans="3:3" ht="15" customHeight="1">
      <c r="C918" s="10"/>
    </row>
    <row r="919" spans="3:3" ht="15" customHeight="1">
      <c r="C919" s="10"/>
    </row>
    <row r="920" spans="3:3" ht="15" customHeight="1">
      <c r="C920" s="10"/>
    </row>
    <row r="921" spans="3:3" ht="15" customHeight="1">
      <c r="C921" s="10"/>
    </row>
    <row r="922" spans="3:3" ht="15" customHeight="1">
      <c r="C922" s="10"/>
    </row>
    <row r="923" spans="3:3" ht="15" customHeight="1">
      <c r="C923" s="10"/>
    </row>
    <row r="924" spans="3:3" ht="15" customHeight="1">
      <c r="C924" s="10"/>
    </row>
    <row r="925" spans="3:3" ht="15" customHeight="1">
      <c r="C925" s="10"/>
    </row>
    <row r="926" spans="3:3" ht="15" customHeight="1">
      <c r="C926" s="10"/>
    </row>
    <row r="927" spans="3:3" ht="15" customHeight="1">
      <c r="C927" s="10"/>
    </row>
    <row r="928" spans="3:3" ht="15" customHeight="1">
      <c r="C928" s="10"/>
    </row>
    <row r="929" spans="3:3" ht="15" customHeight="1">
      <c r="C929" s="10"/>
    </row>
    <row r="930" spans="3:3" ht="15" customHeight="1">
      <c r="C930" s="10"/>
    </row>
    <row r="931" spans="3:3" ht="15" customHeight="1">
      <c r="C931" s="10"/>
    </row>
    <row r="932" spans="3:3" ht="15" customHeight="1">
      <c r="C932" s="10"/>
    </row>
    <row r="933" spans="3:3" ht="15" customHeight="1">
      <c r="C933" s="10"/>
    </row>
    <row r="934" spans="3:3" ht="15" customHeight="1">
      <c r="C934" s="10"/>
    </row>
    <row r="935" spans="3:3" ht="15" customHeight="1">
      <c r="C935" s="10"/>
    </row>
    <row r="936" spans="3:3" ht="15" customHeight="1">
      <c r="C936" s="10"/>
    </row>
    <row r="937" spans="3:3" ht="15" customHeight="1">
      <c r="C937" s="10"/>
    </row>
    <row r="938" spans="3:3" ht="15" customHeight="1">
      <c r="C938" s="10"/>
    </row>
    <row r="939" spans="3:3" ht="15" customHeight="1">
      <c r="C939" s="10"/>
    </row>
    <row r="940" spans="3:3" ht="15" customHeight="1">
      <c r="C940" s="10"/>
    </row>
    <row r="941" spans="3:3" ht="15" customHeight="1">
      <c r="C941" s="10"/>
    </row>
    <row r="942" spans="3:3" ht="15" customHeight="1">
      <c r="C942" s="10"/>
    </row>
    <row r="943" spans="3:3" ht="15" customHeight="1">
      <c r="C943" s="10"/>
    </row>
    <row r="944" spans="3:3" ht="15" customHeight="1">
      <c r="C944" s="10"/>
    </row>
    <row r="945" spans="3:3" ht="15" customHeight="1">
      <c r="C945" s="10"/>
    </row>
    <row r="946" spans="3:3" ht="15" customHeight="1">
      <c r="C946" s="10"/>
    </row>
    <row r="947" spans="3:3" ht="15" customHeight="1">
      <c r="C947" s="10"/>
    </row>
    <row r="948" spans="3:3" ht="15" customHeight="1">
      <c r="C948" s="10"/>
    </row>
    <row r="949" spans="3:3" ht="15" customHeight="1">
      <c r="C949" s="10"/>
    </row>
    <row r="950" spans="3:3" ht="15" customHeight="1">
      <c r="C950" s="10"/>
    </row>
    <row r="951" spans="3:3" ht="15" customHeight="1">
      <c r="C951" s="10"/>
    </row>
    <row r="952" spans="3:3" ht="15" customHeight="1">
      <c r="C952" s="10"/>
    </row>
    <row r="953" spans="3:3" ht="15" customHeight="1">
      <c r="C953" s="10"/>
    </row>
    <row r="954" spans="3:3" ht="15" customHeight="1">
      <c r="C954" s="10"/>
    </row>
    <row r="955" spans="3:3" ht="15" customHeight="1">
      <c r="C955" s="10"/>
    </row>
    <row r="956" spans="3:3" ht="15" customHeight="1">
      <c r="C956" s="10"/>
    </row>
    <row r="957" spans="3:3" ht="15" customHeight="1">
      <c r="C957" s="10"/>
    </row>
    <row r="958" spans="3:3" ht="15" customHeight="1">
      <c r="C958" s="10"/>
    </row>
    <row r="959" spans="3:3" ht="15" customHeight="1">
      <c r="C959" s="10"/>
    </row>
    <row r="960" spans="3:3" ht="15" customHeight="1">
      <c r="C960" s="10"/>
    </row>
    <row r="961" spans="3:3" ht="15" customHeight="1">
      <c r="C961" s="10"/>
    </row>
    <row r="962" spans="3:3" ht="15" customHeight="1">
      <c r="C962" s="10"/>
    </row>
    <row r="963" spans="3:3" ht="15" customHeight="1">
      <c r="C963" s="10"/>
    </row>
    <row r="964" spans="3:3" ht="15" customHeight="1">
      <c r="C964" s="10"/>
    </row>
    <row r="965" spans="3:3" ht="15" customHeight="1">
      <c r="C965" s="10"/>
    </row>
    <row r="966" spans="3:3" ht="15" customHeight="1">
      <c r="C966" s="10"/>
    </row>
    <row r="967" spans="3:3" ht="15" customHeight="1">
      <c r="C967" s="10"/>
    </row>
    <row r="968" spans="3:3" ht="15" customHeight="1">
      <c r="C968" s="10"/>
    </row>
    <row r="969" spans="3:3" ht="15" customHeight="1">
      <c r="C969" s="10"/>
    </row>
    <row r="970" spans="3:3" ht="15" customHeight="1">
      <c r="C970" s="10"/>
    </row>
    <row r="971" spans="3:3" ht="15" customHeight="1">
      <c r="C971" s="10"/>
    </row>
    <row r="972" spans="3:3" ht="15" customHeight="1">
      <c r="C972" s="10"/>
    </row>
    <row r="973" spans="3:3" ht="15" customHeight="1">
      <c r="C973" s="10"/>
    </row>
    <row r="974" spans="3:3" ht="15" customHeight="1">
      <c r="C974" s="10"/>
    </row>
    <row r="975" spans="3:3" ht="15" customHeight="1">
      <c r="C975" s="10"/>
    </row>
    <row r="976" spans="3:3" ht="15" customHeight="1">
      <c r="C976" s="10"/>
    </row>
    <row r="977" spans="3:3" ht="15" customHeight="1">
      <c r="C977" s="10"/>
    </row>
    <row r="978" spans="3:3" ht="15" customHeight="1">
      <c r="C978" s="10"/>
    </row>
    <row r="979" spans="3:3" ht="15" customHeight="1">
      <c r="C979" s="10"/>
    </row>
    <row r="980" spans="3:3" ht="15" customHeight="1">
      <c r="C980" s="10"/>
    </row>
    <row r="981" spans="3:3" ht="15" customHeight="1">
      <c r="C981" s="10"/>
    </row>
    <row r="982" spans="3:3" ht="15" customHeight="1">
      <c r="C982" s="10"/>
    </row>
    <row r="983" spans="3:3" ht="15" customHeight="1">
      <c r="C983" s="10"/>
    </row>
    <row r="984" spans="3:3" ht="15" customHeight="1">
      <c r="C984" s="10"/>
    </row>
    <row r="985" spans="3:3" ht="15" customHeight="1">
      <c r="C985" s="10"/>
    </row>
    <row r="986" spans="3:3" ht="15" customHeight="1">
      <c r="C986" s="10"/>
    </row>
    <row r="987" spans="3:3" ht="15" customHeight="1">
      <c r="C987" s="10"/>
    </row>
    <row r="988" spans="3:3" ht="15" customHeight="1">
      <c r="C988" s="10"/>
    </row>
    <row r="989" spans="3:3" ht="15" customHeight="1">
      <c r="C989" s="10"/>
    </row>
    <row r="990" spans="3:3" ht="15" customHeight="1">
      <c r="C990" s="10"/>
    </row>
    <row r="991" spans="3:3" ht="15" customHeight="1">
      <c r="C991" s="10"/>
    </row>
    <row r="992" spans="3:3" ht="15" customHeight="1">
      <c r="C992" s="10"/>
    </row>
    <row r="993" spans="3:3" ht="15" customHeight="1">
      <c r="C993" s="10"/>
    </row>
    <row r="994" spans="3:3" ht="15" customHeight="1">
      <c r="C994" s="10"/>
    </row>
    <row r="995" spans="3:3" ht="15" customHeight="1">
      <c r="C995" s="10"/>
    </row>
    <row r="996" spans="3:3" ht="15" customHeight="1">
      <c r="C996" s="10"/>
    </row>
    <row r="997" spans="3:3" ht="15" customHeight="1">
      <c r="C997" s="10"/>
    </row>
    <row r="998" spans="3:3" ht="15" customHeight="1">
      <c r="C998" s="10"/>
    </row>
    <row r="999" spans="3:3" ht="15" customHeight="1">
      <c r="C999" s="10"/>
    </row>
    <row r="1000" spans="3:3" ht="15" customHeight="1">
      <c r="C1000" s="10"/>
    </row>
  </sheetData>
  <mergeCells count="10">
    <mergeCell ref="B26:B30"/>
    <mergeCell ref="B31:B43"/>
    <mergeCell ref="B44:B45"/>
    <mergeCell ref="B46:B48"/>
    <mergeCell ref="B49:B50"/>
    <mergeCell ref="B2:B8"/>
    <mergeCell ref="B9:B11"/>
    <mergeCell ref="B12:B14"/>
    <mergeCell ref="B15:B21"/>
    <mergeCell ref="B22:B2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51607-090D-4E93-A4AF-7A30E785DF55}">
  <dimension ref="A1:M306"/>
  <sheetViews>
    <sheetView tabSelected="1" topLeftCell="G35" zoomScale="85" zoomScaleNormal="85" workbookViewId="0">
      <selection activeCell="M64" sqref="M64:M67"/>
    </sheetView>
  </sheetViews>
  <sheetFormatPr defaultRowHeight="14.25"/>
  <cols>
    <col min="1" max="1" width="4.375" customWidth="1"/>
    <col min="2" max="2" width="21.75" bestFit="1" customWidth="1"/>
    <col min="3" max="3" width="13.75" bestFit="1" customWidth="1"/>
    <col min="4" max="4" width="61.875" bestFit="1" customWidth="1"/>
    <col min="5" max="5" width="27.375" bestFit="1" customWidth="1"/>
    <col min="6" max="6" width="7.25" style="8" bestFit="1" customWidth="1"/>
    <col min="7" max="7" width="42" customWidth="1"/>
    <col min="8" max="8" width="23.375" bestFit="1" customWidth="1"/>
    <col min="9" max="9" width="42.25" customWidth="1"/>
    <col min="10" max="10" width="71.5" style="12" customWidth="1"/>
    <col min="11" max="11" width="7.375" bestFit="1" customWidth="1"/>
    <col min="12" max="12" width="10" bestFit="1" customWidth="1"/>
    <col min="13" max="13" width="48.375" bestFit="1" customWidth="1"/>
  </cols>
  <sheetData>
    <row r="1" spans="1:13" s="9" customFormat="1" ht="15" customHeight="1">
      <c r="A1" s="26" t="s">
        <v>40</v>
      </c>
      <c r="B1" s="26" t="s">
        <v>41</v>
      </c>
      <c r="C1" s="26" t="s">
        <v>383</v>
      </c>
      <c r="D1" s="27" t="s">
        <v>384</v>
      </c>
      <c r="E1" s="26" t="s">
        <v>385</v>
      </c>
      <c r="F1" s="26" t="s">
        <v>386</v>
      </c>
      <c r="G1" s="27" t="s">
        <v>387</v>
      </c>
      <c r="H1" s="26" t="s">
        <v>388</v>
      </c>
      <c r="I1" s="27" t="s">
        <v>389</v>
      </c>
      <c r="J1" s="27" t="s">
        <v>222</v>
      </c>
      <c r="K1" s="26" t="s">
        <v>390</v>
      </c>
      <c r="L1" s="26" t="s">
        <v>391</v>
      </c>
      <c r="M1" s="27" t="s">
        <v>15</v>
      </c>
    </row>
    <row r="2" spans="1:13" s="9" customFormat="1" ht="36" customHeight="1">
      <c r="A2" s="76" t="s">
        <v>16</v>
      </c>
      <c r="B2" s="77"/>
      <c r="C2" s="77"/>
      <c r="D2" s="77"/>
      <c r="E2" s="77"/>
      <c r="F2" s="77"/>
      <c r="G2" s="77"/>
      <c r="H2" s="77"/>
      <c r="I2" s="77"/>
      <c r="J2" s="77"/>
      <c r="K2" s="77"/>
      <c r="L2" s="77"/>
      <c r="M2" s="78"/>
    </row>
    <row r="3" spans="1:13" s="9" customFormat="1">
      <c r="A3" s="79">
        <v>1</v>
      </c>
      <c r="B3" s="79" t="s">
        <v>392</v>
      </c>
      <c r="C3" s="79" t="s">
        <v>225</v>
      </c>
      <c r="D3" s="79" t="s">
        <v>393</v>
      </c>
      <c r="E3" s="79" t="s">
        <v>394</v>
      </c>
      <c r="F3" s="3">
        <v>1</v>
      </c>
      <c r="G3" s="4" t="s">
        <v>395</v>
      </c>
      <c r="H3" s="3"/>
      <c r="I3" s="4" t="s">
        <v>396</v>
      </c>
      <c r="J3" s="82" t="s">
        <v>397</v>
      </c>
      <c r="K3" s="85" t="s">
        <v>398</v>
      </c>
      <c r="L3" s="79" t="s">
        <v>399</v>
      </c>
      <c r="M3" s="79"/>
    </row>
    <row r="4" spans="1:13" s="9" customFormat="1">
      <c r="A4" s="80"/>
      <c r="B4" s="80"/>
      <c r="C4" s="80"/>
      <c r="D4" s="80"/>
      <c r="E4" s="80"/>
      <c r="F4" s="3">
        <v>2</v>
      </c>
      <c r="G4" s="4" t="s">
        <v>400</v>
      </c>
      <c r="H4" s="3"/>
      <c r="I4" s="4" t="s">
        <v>401</v>
      </c>
      <c r="J4" s="83"/>
      <c r="K4" s="80"/>
      <c r="L4" s="80"/>
      <c r="M4" s="80"/>
    </row>
    <row r="5" spans="1:13" s="9" customFormat="1" ht="28.5" customHeight="1">
      <c r="A5" s="80"/>
      <c r="B5" s="80"/>
      <c r="C5" s="80"/>
      <c r="D5" s="80"/>
      <c r="E5" s="80"/>
      <c r="F5" s="3">
        <v>3</v>
      </c>
      <c r="G5" s="4" t="s">
        <v>402</v>
      </c>
      <c r="H5" s="3" t="s">
        <v>403</v>
      </c>
      <c r="I5" s="4" t="s">
        <v>404</v>
      </c>
      <c r="J5" s="83"/>
      <c r="K5" s="80"/>
      <c r="L5" s="80"/>
      <c r="M5" s="80"/>
    </row>
    <row r="6" spans="1:13" s="9" customFormat="1">
      <c r="A6" s="81"/>
      <c r="B6" s="81"/>
      <c r="C6" s="81"/>
      <c r="D6" s="81"/>
      <c r="E6" s="81"/>
      <c r="F6" s="3">
        <v>4</v>
      </c>
      <c r="G6" s="4" t="s">
        <v>405</v>
      </c>
      <c r="H6" s="3"/>
      <c r="I6" s="4" t="s">
        <v>406</v>
      </c>
      <c r="J6" s="84"/>
      <c r="K6" s="81"/>
      <c r="L6" s="81"/>
      <c r="M6" s="81"/>
    </row>
    <row r="7" spans="1:13" s="9" customFormat="1">
      <c r="A7" s="79">
        <v>2</v>
      </c>
      <c r="B7" s="79" t="s">
        <v>407</v>
      </c>
      <c r="C7" s="79" t="s">
        <v>408</v>
      </c>
      <c r="D7" s="79" t="s">
        <v>409</v>
      </c>
      <c r="E7" s="79" t="s">
        <v>394</v>
      </c>
      <c r="F7" s="3">
        <v>1</v>
      </c>
      <c r="G7" s="4" t="s">
        <v>410</v>
      </c>
      <c r="H7" s="3"/>
      <c r="I7" s="4" t="s">
        <v>411</v>
      </c>
      <c r="J7" s="82" t="s">
        <v>412</v>
      </c>
      <c r="K7" s="85" t="s">
        <v>398</v>
      </c>
      <c r="L7" s="79" t="s">
        <v>399</v>
      </c>
      <c r="M7" s="79"/>
    </row>
    <row r="8" spans="1:13" s="9" customFormat="1">
      <c r="A8" s="80"/>
      <c r="B8" s="80"/>
      <c r="C8" s="80"/>
      <c r="D8" s="80"/>
      <c r="E8" s="80"/>
      <c r="F8" s="3">
        <v>2</v>
      </c>
      <c r="G8" s="4" t="s">
        <v>413</v>
      </c>
      <c r="H8" s="3" t="s">
        <v>414</v>
      </c>
      <c r="I8" s="4"/>
      <c r="J8" s="83"/>
      <c r="K8" s="80"/>
      <c r="L8" s="80"/>
      <c r="M8" s="80"/>
    </row>
    <row r="9" spans="1:13" s="9" customFormat="1" ht="28.5" customHeight="1">
      <c r="A9" s="81"/>
      <c r="B9" s="81"/>
      <c r="C9" s="81"/>
      <c r="D9" s="81"/>
      <c r="E9" s="81"/>
      <c r="F9" s="3">
        <v>3</v>
      </c>
      <c r="G9" s="4" t="s">
        <v>405</v>
      </c>
      <c r="H9" s="3"/>
      <c r="I9" s="4" t="s">
        <v>415</v>
      </c>
      <c r="J9" s="84"/>
      <c r="K9" s="81"/>
      <c r="L9" s="81"/>
      <c r="M9" s="81"/>
    </row>
    <row r="10" spans="1:13" s="9" customFormat="1">
      <c r="A10" s="79">
        <v>3</v>
      </c>
      <c r="B10" s="79" t="s">
        <v>416</v>
      </c>
      <c r="C10" s="79" t="s">
        <v>417</v>
      </c>
      <c r="D10" s="79" t="s">
        <v>418</v>
      </c>
      <c r="E10" s="79" t="s">
        <v>394</v>
      </c>
      <c r="F10" s="3">
        <v>1</v>
      </c>
      <c r="G10" s="4" t="s">
        <v>419</v>
      </c>
      <c r="H10" s="3" t="s">
        <v>420</v>
      </c>
      <c r="I10" s="4"/>
      <c r="J10" s="82" t="s">
        <v>421</v>
      </c>
      <c r="K10" s="85" t="s">
        <v>398</v>
      </c>
      <c r="L10" s="79" t="s">
        <v>399</v>
      </c>
      <c r="M10" s="79"/>
    </row>
    <row r="11" spans="1:13" s="9" customFormat="1">
      <c r="A11" s="80"/>
      <c r="B11" s="80"/>
      <c r="C11" s="80"/>
      <c r="D11" s="80"/>
      <c r="E11" s="80"/>
      <c r="F11" s="3">
        <v>2</v>
      </c>
      <c r="G11" s="4" t="s">
        <v>422</v>
      </c>
      <c r="H11" s="3">
        <v>123456</v>
      </c>
      <c r="I11" s="4"/>
      <c r="J11" s="83"/>
      <c r="K11" s="80"/>
      <c r="L11" s="80"/>
      <c r="M11" s="80"/>
    </row>
    <row r="12" spans="1:13" s="9" customFormat="1" ht="28.5" customHeight="1">
      <c r="A12" s="80"/>
      <c r="B12" s="80"/>
      <c r="C12" s="80"/>
      <c r="D12" s="80"/>
      <c r="E12" s="80"/>
      <c r="F12" s="3">
        <v>3</v>
      </c>
      <c r="G12" s="4" t="s">
        <v>423</v>
      </c>
      <c r="H12" s="3">
        <v>654321</v>
      </c>
      <c r="I12" s="4"/>
      <c r="J12" s="83"/>
      <c r="K12" s="80"/>
      <c r="L12" s="80"/>
      <c r="M12" s="80"/>
    </row>
    <row r="13" spans="1:13" s="9" customFormat="1">
      <c r="A13" s="81"/>
      <c r="B13" s="81"/>
      <c r="C13" s="81"/>
      <c r="D13" s="81"/>
      <c r="E13" s="81"/>
      <c r="F13" s="3">
        <v>4</v>
      </c>
      <c r="G13" s="4" t="s">
        <v>424</v>
      </c>
      <c r="H13" s="3"/>
      <c r="I13" s="4" t="s">
        <v>425</v>
      </c>
      <c r="J13" s="84"/>
      <c r="K13" s="81"/>
      <c r="L13" s="81"/>
      <c r="M13" s="81"/>
    </row>
    <row r="14" spans="1:13" s="9" customFormat="1">
      <c r="A14" s="79">
        <v>4</v>
      </c>
      <c r="B14" s="79" t="s">
        <v>426</v>
      </c>
      <c r="C14" s="79" t="s">
        <v>236</v>
      </c>
      <c r="D14" s="79" t="s">
        <v>427</v>
      </c>
      <c r="E14" s="79" t="s">
        <v>428</v>
      </c>
      <c r="F14" s="3">
        <v>1</v>
      </c>
      <c r="G14" s="4" t="s">
        <v>429</v>
      </c>
      <c r="H14" s="3"/>
      <c r="I14" s="4"/>
      <c r="J14" s="82" t="s">
        <v>430</v>
      </c>
      <c r="K14" s="85" t="s">
        <v>398</v>
      </c>
      <c r="L14" s="79" t="s">
        <v>399</v>
      </c>
      <c r="M14" s="79"/>
    </row>
    <row r="15" spans="1:13" s="9" customFormat="1" ht="28.5" customHeight="1">
      <c r="A15" s="80"/>
      <c r="B15" s="80"/>
      <c r="C15" s="80"/>
      <c r="D15" s="80"/>
      <c r="E15" s="80"/>
      <c r="F15" s="3">
        <v>2</v>
      </c>
      <c r="G15" s="4" t="s">
        <v>431</v>
      </c>
      <c r="H15" s="3" t="s">
        <v>432</v>
      </c>
      <c r="I15" s="4"/>
      <c r="J15" s="83"/>
      <c r="K15" s="80"/>
      <c r="L15" s="80"/>
      <c r="M15" s="80"/>
    </row>
    <row r="16" spans="1:13" s="9" customFormat="1">
      <c r="A16" s="81"/>
      <c r="B16" s="81"/>
      <c r="C16" s="81"/>
      <c r="D16" s="81"/>
      <c r="E16" s="81"/>
      <c r="F16" s="3">
        <v>3</v>
      </c>
      <c r="G16" s="4" t="s">
        <v>424</v>
      </c>
      <c r="H16" s="3"/>
      <c r="I16" s="4" t="s">
        <v>433</v>
      </c>
      <c r="J16" s="84"/>
      <c r="K16" s="81"/>
      <c r="L16" s="81"/>
      <c r="M16" s="81"/>
    </row>
    <row r="17" spans="1:13" s="9" customFormat="1">
      <c r="A17" s="79">
        <v>5</v>
      </c>
      <c r="B17" s="79" t="s">
        <v>434</v>
      </c>
      <c r="C17" s="79" t="s">
        <v>435</v>
      </c>
      <c r="D17" s="79" t="s">
        <v>436</v>
      </c>
      <c r="E17" s="79" t="s">
        <v>394</v>
      </c>
      <c r="F17" s="3">
        <v>1</v>
      </c>
      <c r="G17" s="4" t="s">
        <v>429</v>
      </c>
      <c r="H17" s="3"/>
      <c r="I17" s="4"/>
      <c r="J17" s="82"/>
      <c r="K17" s="79"/>
      <c r="L17" s="79"/>
      <c r="M17" s="79"/>
    </row>
    <row r="18" spans="1:13" s="9" customFormat="1" ht="28.5" customHeight="1">
      <c r="A18" s="80"/>
      <c r="B18" s="80"/>
      <c r="C18" s="80"/>
      <c r="D18" s="80"/>
      <c r="E18" s="80"/>
      <c r="F18" s="3">
        <v>2</v>
      </c>
      <c r="G18" s="4" t="s">
        <v>437</v>
      </c>
      <c r="H18" s="3" t="s">
        <v>438</v>
      </c>
      <c r="I18" s="4"/>
      <c r="J18" s="83"/>
      <c r="K18" s="80"/>
      <c r="L18" s="80"/>
      <c r="M18" s="80"/>
    </row>
    <row r="19" spans="1:13" s="9" customFormat="1">
      <c r="A19" s="81"/>
      <c r="B19" s="81"/>
      <c r="C19" s="81"/>
      <c r="D19" s="81"/>
      <c r="E19" s="81"/>
      <c r="F19" s="3">
        <v>3</v>
      </c>
      <c r="G19" s="4" t="s">
        <v>424</v>
      </c>
      <c r="H19" s="3"/>
      <c r="I19" s="4" t="s">
        <v>439</v>
      </c>
      <c r="J19" s="84"/>
      <c r="K19" s="81"/>
      <c r="L19" s="81"/>
      <c r="M19" s="81"/>
    </row>
    <row r="20" spans="1:13" s="9" customFormat="1">
      <c r="A20" s="79">
        <v>6</v>
      </c>
      <c r="B20" s="79" t="s">
        <v>440</v>
      </c>
      <c r="C20" s="79" t="s">
        <v>239</v>
      </c>
      <c r="D20" s="79" t="s">
        <v>441</v>
      </c>
      <c r="E20" s="79" t="s">
        <v>442</v>
      </c>
      <c r="F20" s="79">
        <v>1</v>
      </c>
      <c r="G20" s="4" t="s">
        <v>443</v>
      </c>
      <c r="H20" s="3"/>
      <c r="I20" s="4"/>
      <c r="J20" s="82" t="s">
        <v>444</v>
      </c>
      <c r="K20" s="85" t="s">
        <v>398</v>
      </c>
      <c r="L20" s="79" t="s">
        <v>399</v>
      </c>
      <c r="M20" s="86"/>
    </row>
    <row r="21" spans="1:13" s="9" customFormat="1" ht="28.5" customHeight="1">
      <c r="A21" s="80"/>
      <c r="B21" s="80"/>
      <c r="C21" s="80"/>
      <c r="D21" s="80"/>
      <c r="E21" s="80"/>
      <c r="F21" s="80">
        <v>2</v>
      </c>
      <c r="G21" s="4" t="s">
        <v>446</v>
      </c>
      <c r="H21" s="3" t="s">
        <v>447</v>
      </c>
      <c r="I21" s="4"/>
      <c r="J21" s="83"/>
      <c r="K21" s="80"/>
      <c r="L21" s="80"/>
      <c r="M21" s="80"/>
    </row>
    <row r="22" spans="1:13" s="9" customFormat="1">
      <c r="A22" s="80"/>
      <c r="B22" s="80"/>
      <c r="C22" s="80"/>
      <c r="D22" s="80"/>
      <c r="E22" s="80"/>
      <c r="F22" s="80">
        <v>3</v>
      </c>
      <c r="G22" s="4" t="s">
        <v>448</v>
      </c>
      <c r="H22" s="3" t="s">
        <v>449</v>
      </c>
      <c r="I22" s="4"/>
      <c r="J22" s="83"/>
      <c r="K22" s="80"/>
      <c r="L22" s="80"/>
      <c r="M22" s="80"/>
    </row>
    <row r="23" spans="1:13" s="9" customFormat="1" ht="28.5" customHeight="1">
      <c r="A23" s="81"/>
      <c r="B23" s="81"/>
      <c r="C23" s="81"/>
      <c r="D23" s="81"/>
      <c r="E23" s="81"/>
      <c r="F23" s="81">
        <v>4</v>
      </c>
      <c r="G23" s="4" t="s">
        <v>450</v>
      </c>
      <c r="H23" s="3"/>
      <c r="I23" s="4" t="s">
        <v>451</v>
      </c>
      <c r="J23" s="84"/>
      <c r="K23" s="81"/>
      <c r="L23" s="81"/>
      <c r="M23" s="81"/>
    </row>
    <row r="24" spans="1:13" s="9" customFormat="1">
      <c r="A24" s="79">
        <v>7</v>
      </c>
      <c r="B24" s="79" t="s">
        <v>452</v>
      </c>
      <c r="C24" s="79" t="s">
        <v>453</v>
      </c>
      <c r="D24" s="79" t="s">
        <v>454</v>
      </c>
      <c r="E24" s="79" t="s">
        <v>442</v>
      </c>
      <c r="F24" s="3">
        <v>1</v>
      </c>
      <c r="G24" s="4" t="s">
        <v>455</v>
      </c>
      <c r="H24" s="3" t="s">
        <v>447</v>
      </c>
      <c r="I24" s="4"/>
      <c r="J24" s="82" t="s">
        <v>456</v>
      </c>
      <c r="K24" s="85" t="s">
        <v>398</v>
      </c>
      <c r="L24" s="79" t="s">
        <v>399</v>
      </c>
      <c r="M24" s="79" t="s">
        <v>457</v>
      </c>
    </row>
    <row r="25" spans="1:13" s="9" customFormat="1">
      <c r="A25" s="80"/>
      <c r="B25" s="80"/>
      <c r="C25" s="80"/>
      <c r="D25" s="80"/>
      <c r="E25" s="80"/>
      <c r="F25" s="3">
        <v>2</v>
      </c>
      <c r="G25" s="4" t="s">
        <v>458</v>
      </c>
      <c r="H25" s="3" t="s">
        <v>459</v>
      </c>
      <c r="I25" s="4"/>
      <c r="J25" s="83"/>
      <c r="K25" s="80"/>
      <c r="L25" s="80"/>
      <c r="M25" s="80"/>
    </row>
    <row r="26" spans="1:13" s="9" customFormat="1">
      <c r="A26" s="81"/>
      <c r="B26" s="81"/>
      <c r="C26" s="81"/>
      <c r="D26" s="81"/>
      <c r="E26" s="81"/>
      <c r="F26" s="3">
        <v>3</v>
      </c>
      <c r="G26" s="4" t="s">
        <v>450</v>
      </c>
      <c r="H26" s="3"/>
      <c r="I26" s="4" t="s">
        <v>460</v>
      </c>
      <c r="J26" s="84"/>
      <c r="K26" s="81"/>
      <c r="L26" s="81"/>
      <c r="M26" s="81"/>
    </row>
    <row r="27" spans="1:13" s="9" customFormat="1">
      <c r="A27" s="79">
        <v>8</v>
      </c>
      <c r="B27" s="79" t="s">
        <v>461</v>
      </c>
      <c r="C27" s="79" t="s">
        <v>462</v>
      </c>
      <c r="D27" s="79" t="s">
        <v>463</v>
      </c>
      <c r="E27" s="79" t="s">
        <v>464</v>
      </c>
      <c r="F27" s="3">
        <v>1</v>
      </c>
      <c r="G27" s="4" t="s">
        <v>465</v>
      </c>
      <c r="H27" s="3" t="s">
        <v>466</v>
      </c>
      <c r="I27" s="4"/>
      <c r="J27" s="82" t="s">
        <v>456</v>
      </c>
      <c r="K27" s="85" t="s">
        <v>398</v>
      </c>
      <c r="L27" s="79" t="s">
        <v>399</v>
      </c>
      <c r="M27" s="79" t="s">
        <v>457</v>
      </c>
    </row>
    <row r="28" spans="1:13" s="9" customFormat="1">
      <c r="A28" s="80"/>
      <c r="B28" s="80"/>
      <c r="C28" s="80"/>
      <c r="D28" s="80"/>
      <c r="E28" s="80"/>
      <c r="F28" s="3">
        <v>2</v>
      </c>
      <c r="G28" s="4" t="s">
        <v>467</v>
      </c>
      <c r="H28" s="3">
        <v>12345</v>
      </c>
      <c r="I28" s="4"/>
      <c r="J28" s="83"/>
      <c r="K28" s="80"/>
      <c r="L28" s="80"/>
      <c r="M28" s="80"/>
    </row>
    <row r="29" spans="1:13" s="9" customFormat="1">
      <c r="A29" s="81"/>
      <c r="B29" s="81"/>
      <c r="C29" s="81"/>
      <c r="D29" s="81"/>
      <c r="E29" s="81"/>
      <c r="F29" s="3">
        <v>3</v>
      </c>
      <c r="G29" s="4" t="s">
        <v>450</v>
      </c>
      <c r="H29" s="3"/>
      <c r="I29" s="4" t="s">
        <v>460</v>
      </c>
      <c r="J29" s="84"/>
      <c r="K29" s="81"/>
      <c r="L29" s="81"/>
      <c r="M29" s="81"/>
    </row>
    <row r="30" spans="1:13" s="9" customFormat="1">
      <c r="A30" s="79">
        <v>9</v>
      </c>
      <c r="B30" s="79" t="s">
        <v>468</v>
      </c>
      <c r="C30" s="79" t="s">
        <v>469</v>
      </c>
      <c r="D30" s="79" t="s">
        <v>470</v>
      </c>
      <c r="E30" s="79" t="s">
        <v>464</v>
      </c>
      <c r="F30" s="3">
        <v>1</v>
      </c>
      <c r="G30" s="4" t="s">
        <v>471</v>
      </c>
      <c r="H30" s="3" t="s">
        <v>414</v>
      </c>
      <c r="I30" s="4"/>
      <c r="J30" s="82" t="s">
        <v>472</v>
      </c>
      <c r="K30" s="85" t="s">
        <v>398</v>
      </c>
      <c r="L30" s="79" t="s">
        <v>399</v>
      </c>
      <c r="M30" s="79" t="s">
        <v>473</v>
      </c>
    </row>
    <row r="31" spans="1:13" s="9" customFormat="1">
      <c r="A31" s="81"/>
      <c r="B31" s="81"/>
      <c r="C31" s="81"/>
      <c r="D31" s="81"/>
      <c r="E31" s="81"/>
      <c r="F31" s="3">
        <v>2</v>
      </c>
      <c r="G31" s="4" t="s">
        <v>450</v>
      </c>
      <c r="H31" s="3"/>
      <c r="I31" s="4" t="s">
        <v>474</v>
      </c>
      <c r="J31" s="84"/>
      <c r="K31" s="81"/>
      <c r="L31" s="81"/>
      <c r="M31" s="81"/>
    </row>
    <row r="32" spans="1:13" s="9" customFormat="1">
      <c r="A32" s="79">
        <v>10</v>
      </c>
      <c r="B32" s="79" t="s">
        <v>475</v>
      </c>
      <c r="C32" s="79" t="s">
        <v>476</v>
      </c>
      <c r="D32" s="79" t="s">
        <v>477</v>
      </c>
      <c r="E32" s="79" t="s">
        <v>478</v>
      </c>
      <c r="F32" s="3">
        <v>1</v>
      </c>
      <c r="G32" s="4" t="s">
        <v>479</v>
      </c>
      <c r="H32" s="3"/>
      <c r="I32" s="4" t="s">
        <v>480</v>
      </c>
      <c r="J32" s="82" t="s">
        <v>481</v>
      </c>
      <c r="K32" s="87" t="s">
        <v>482</v>
      </c>
      <c r="L32" s="79" t="s">
        <v>399</v>
      </c>
      <c r="M32" s="86" t="s">
        <v>445</v>
      </c>
    </row>
    <row r="33" spans="1:13" s="9" customFormat="1">
      <c r="A33" s="80"/>
      <c r="B33" s="80"/>
      <c r="C33" s="80"/>
      <c r="D33" s="80"/>
      <c r="E33" s="80"/>
      <c r="F33" s="3">
        <v>2</v>
      </c>
      <c r="G33" s="4" t="s">
        <v>483</v>
      </c>
      <c r="H33" s="3" t="s">
        <v>484</v>
      </c>
      <c r="I33" s="4"/>
      <c r="J33" s="83"/>
      <c r="K33" s="80"/>
      <c r="L33" s="80"/>
      <c r="M33" s="80"/>
    </row>
    <row r="34" spans="1:13" s="9" customFormat="1">
      <c r="A34" s="81"/>
      <c r="B34" s="81"/>
      <c r="C34" s="81"/>
      <c r="D34" s="81"/>
      <c r="E34" s="81"/>
      <c r="F34" s="3">
        <v>3</v>
      </c>
      <c r="G34" s="4" t="s">
        <v>485</v>
      </c>
      <c r="H34" s="3"/>
      <c r="I34" s="4" t="s">
        <v>486</v>
      </c>
      <c r="J34" s="84"/>
      <c r="K34" s="81"/>
      <c r="L34" s="81"/>
      <c r="M34" s="81"/>
    </row>
    <row r="35" spans="1:13" s="9" customFormat="1">
      <c r="A35" s="79">
        <v>11</v>
      </c>
      <c r="B35" s="79" t="s">
        <v>487</v>
      </c>
      <c r="C35" s="79" t="s">
        <v>488</v>
      </c>
      <c r="D35" s="79" t="s">
        <v>489</v>
      </c>
      <c r="E35" s="79" t="s">
        <v>490</v>
      </c>
      <c r="F35" s="3">
        <v>1</v>
      </c>
      <c r="G35" s="4" t="s">
        <v>491</v>
      </c>
      <c r="H35" s="3"/>
      <c r="I35" s="4"/>
      <c r="J35" s="82" t="s">
        <v>492</v>
      </c>
      <c r="K35" s="85" t="s">
        <v>398</v>
      </c>
      <c r="L35" s="79" t="s">
        <v>399</v>
      </c>
      <c r="M35" s="79"/>
    </row>
    <row r="36" spans="1:13" s="9" customFormat="1">
      <c r="A36" s="81"/>
      <c r="B36" s="81"/>
      <c r="C36" s="81"/>
      <c r="D36" s="81"/>
      <c r="E36" s="81"/>
      <c r="F36" s="3">
        <v>2</v>
      </c>
      <c r="G36" s="4" t="s">
        <v>493</v>
      </c>
      <c r="H36" s="3"/>
      <c r="I36" s="4" t="s">
        <v>494</v>
      </c>
      <c r="J36" s="84"/>
      <c r="K36" s="81"/>
      <c r="L36" s="81"/>
      <c r="M36" s="81"/>
    </row>
    <row r="37" spans="1:13" s="9" customFormat="1">
      <c r="A37" s="79">
        <v>12</v>
      </c>
      <c r="B37" s="79" t="s">
        <v>495</v>
      </c>
      <c r="C37" s="79" t="s">
        <v>496</v>
      </c>
      <c r="D37" s="79" t="s">
        <v>497</v>
      </c>
      <c r="E37" s="79" t="s">
        <v>394</v>
      </c>
      <c r="F37" s="3">
        <v>1</v>
      </c>
      <c r="G37" s="4" t="s">
        <v>429</v>
      </c>
      <c r="H37" s="3"/>
      <c r="I37" s="4"/>
      <c r="J37" s="82"/>
      <c r="K37" s="79"/>
      <c r="L37" s="79"/>
      <c r="M37" s="79"/>
    </row>
    <row r="38" spans="1:13" s="9" customFormat="1">
      <c r="A38" s="80"/>
      <c r="B38" s="80"/>
      <c r="C38" s="80"/>
      <c r="D38" s="80"/>
      <c r="E38" s="80"/>
      <c r="F38" s="3">
        <v>2</v>
      </c>
      <c r="G38" s="4" t="s">
        <v>498</v>
      </c>
      <c r="H38" s="3"/>
      <c r="I38" s="4"/>
      <c r="J38" s="83"/>
      <c r="K38" s="80"/>
      <c r="L38" s="80"/>
      <c r="M38" s="80"/>
    </row>
    <row r="39" spans="1:13" s="9" customFormat="1">
      <c r="A39" s="81"/>
      <c r="B39" s="81"/>
      <c r="C39" s="81"/>
      <c r="D39" s="81"/>
      <c r="E39" s="81"/>
      <c r="F39" s="3">
        <v>3</v>
      </c>
      <c r="G39" s="4" t="s">
        <v>424</v>
      </c>
      <c r="H39" s="3"/>
      <c r="I39" s="4" t="s">
        <v>499</v>
      </c>
      <c r="J39" s="84"/>
      <c r="K39" s="81"/>
      <c r="L39" s="81"/>
      <c r="M39" s="81"/>
    </row>
    <row r="40" spans="1:13" s="9" customFormat="1" ht="33.75" customHeight="1">
      <c r="A40" s="88" t="s">
        <v>19</v>
      </c>
      <c r="B40" s="89"/>
      <c r="C40" s="89"/>
      <c r="D40" s="89"/>
      <c r="E40" s="89"/>
      <c r="F40" s="89"/>
      <c r="G40" s="89"/>
      <c r="H40" s="89"/>
      <c r="I40" s="89"/>
      <c r="J40" s="89"/>
      <c r="K40" s="89"/>
      <c r="L40" s="89"/>
      <c r="M40" s="90"/>
    </row>
    <row r="41" spans="1:13" s="9" customFormat="1">
      <c r="A41" s="79">
        <v>13</v>
      </c>
      <c r="B41" s="79" t="s">
        <v>500</v>
      </c>
      <c r="C41" s="79" t="s">
        <v>501</v>
      </c>
      <c r="D41" s="79" t="s">
        <v>502</v>
      </c>
      <c r="E41" s="79" t="s">
        <v>503</v>
      </c>
      <c r="F41" s="3">
        <v>1</v>
      </c>
      <c r="G41" s="4" t="s">
        <v>504</v>
      </c>
      <c r="H41" s="3"/>
      <c r="I41" s="4"/>
      <c r="J41" s="82" t="s">
        <v>505</v>
      </c>
      <c r="K41" s="85" t="s">
        <v>398</v>
      </c>
      <c r="L41" s="79" t="s">
        <v>506</v>
      </c>
      <c r="M41" s="79"/>
    </row>
    <row r="42" spans="1:13" s="9" customFormat="1" ht="28.5" customHeight="1">
      <c r="A42" s="81"/>
      <c r="B42" s="81"/>
      <c r="C42" s="81"/>
      <c r="D42" s="81"/>
      <c r="E42" s="81"/>
      <c r="F42" s="3">
        <v>2</v>
      </c>
      <c r="G42" s="4" t="s">
        <v>507</v>
      </c>
      <c r="H42" s="3"/>
      <c r="I42" s="4" t="s">
        <v>508</v>
      </c>
      <c r="J42" s="84"/>
      <c r="K42" s="81"/>
      <c r="L42" s="81"/>
      <c r="M42" s="81"/>
    </row>
    <row r="43" spans="1:13" s="9" customFormat="1">
      <c r="A43" s="79">
        <v>14</v>
      </c>
      <c r="B43" s="79" t="s">
        <v>509</v>
      </c>
      <c r="C43" s="79" t="s">
        <v>510</v>
      </c>
      <c r="D43" s="79" t="s">
        <v>511</v>
      </c>
      <c r="E43" s="79" t="s">
        <v>512</v>
      </c>
      <c r="F43" s="3">
        <v>1</v>
      </c>
      <c r="G43" s="4" t="s">
        <v>513</v>
      </c>
      <c r="H43" s="3"/>
      <c r="I43" s="4"/>
      <c r="J43" s="82" t="s">
        <v>514</v>
      </c>
      <c r="K43" s="85" t="s">
        <v>398</v>
      </c>
      <c r="L43" s="79" t="s">
        <v>506</v>
      </c>
      <c r="M43" s="86"/>
    </row>
    <row r="44" spans="1:13" s="9" customFormat="1" ht="28.5" customHeight="1">
      <c r="A44" s="81"/>
      <c r="B44" s="81"/>
      <c r="C44" s="81"/>
      <c r="D44" s="81"/>
      <c r="E44" s="81"/>
      <c r="F44" s="3">
        <v>2</v>
      </c>
      <c r="G44" s="4" t="s">
        <v>515</v>
      </c>
      <c r="H44" s="3"/>
      <c r="I44" s="4" t="s">
        <v>516</v>
      </c>
      <c r="J44" s="84"/>
      <c r="K44" s="81"/>
      <c r="L44" s="81"/>
      <c r="M44" s="81"/>
    </row>
    <row r="45" spans="1:13" s="9" customFormat="1">
      <c r="A45" s="79">
        <v>15</v>
      </c>
      <c r="B45" s="79" t="s">
        <v>517</v>
      </c>
      <c r="C45" s="79" t="s">
        <v>518</v>
      </c>
      <c r="D45" s="79" t="s">
        <v>519</v>
      </c>
      <c r="E45" s="79" t="s">
        <v>520</v>
      </c>
      <c r="F45" s="3">
        <v>1</v>
      </c>
      <c r="G45" s="4" t="s">
        <v>521</v>
      </c>
      <c r="H45" s="3"/>
      <c r="I45" s="4"/>
      <c r="J45" s="82" t="s">
        <v>522</v>
      </c>
      <c r="K45" s="85" t="s">
        <v>398</v>
      </c>
      <c r="L45" s="79" t="s">
        <v>506</v>
      </c>
      <c r="M45" s="79"/>
    </row>
    <row r="46" spans="1:13" s="9" customFormat="1">
      <c r="A46" s="81"/>
      <c r="B46" s="81"/>
      <c r="C46" s="81"/>
      <c r="D46" s="81"/>
      <c r="E46" s="81"/>
      <c r="F46" s="3">
        <v>2</v>
      </c>
      <c r="G46" s="4" t="s">
        <v>523</v>
      </c>
      <c r="H46" s="3"/>
      <c r="I46" s="4" t="s">
        <v>524</v>
      </c>
      <c r="J46" s="84"/>
      <c r="K46" s="81"/>
      <c r="L46" s="81"/>
      <c r="M46" s="81"/>
    </row>
    <row r="47" spans="1:13" s="9" customFormat="1" ht="28.5" customHeight="1">
      <c r="A47" s="79">
        <v>16</v>
      </c>
      <c r="B47" s="79" t="s">
        <v>525</v>
      </c>
      <c r="C47" s="79" t="s">
        <v>255</v>
      </c>
      <c r="D47" s="79" t="s">
        <v>526</v>
      </c>
      <c r="E47" s="79" t="s">
        <v>527</v>
      </c>
      <c r="F47" s="3">
        <v>1</v>
      </c>
      <c r="G47" s="4" t="s">
        <v>528</v>
      </c>
      <c r="H47" s="3"/>
      <c r="I47" s="4"/>
      <c r="J47" s="82" t="s">
        <v>529</v>
      </c>
      <c r="K47" s="85" t="s">
        <v>398</v>
      </c>
      <c r="L47" s="79" t="s">
        <v>506</v>
      </c>
      <c r="M47" s="79"/>
    </row>
    <row r="48" spans="1:13" s="9" customFormat="1" ht="28.5" customHeight="1">
      <c r="A48" s="81"/>
      <c r="B48" s="81"/>
      <c r="C48" s="81"/>
      <c r="D48" s="81"/>
      <c r="E48" s="81"/>
      <c r="F48" s="3">
        <v>2</v>
      </c>
      <c r="G48" s="4" t="s">
        <v>530</v>
      </c>
      <c r="H48" s="3" t="s">
        <v>531</v>
      </c>
      <c r="I48" s="4" t="s">
        <v>532</v>
      </c>
      <c r="J48" s="84"/>
      <c r="K48" s="81"/>
      <c r="L48" s="81"/>
      <c r="M48" s="81"/>
    </row>
    <row r="49" spans="1:13" s="9" customFormat="1">
      <c r="A49" s="79">
        <v>17</v>
      </c>
      <c r="B49" s="79" t="s">
        <v>533</v>
      </c>
      <c r="C49" s="79" t="s">
        <v>534</v>
      </c>
      <c r="D49" s="79" t="s">
        <v>535</v>
      </c>
      <c r="E49" s="79" t="s">
        <v>536</v>
      </c>
      <c r="F49" s="3">
        <v>1</v>
      </c>
      <c r="G49" s="4" t="s">
        <v>537</v>
      </c>
      <c r="H49" s="3"/>
      <c r="I49" s="4"/>
      <c r="J49" s="82"/>
      <c r="K49" s="79"/>
      <c r="L49" s="79"/>
      <c r="M49" s="79"/>
    </row>
    <row r="50" spans="1:13" s="9" customFormat="1">
      <c r="A50" s="81"/>
      <c r="B50" s="81"/>
      <c r="C50" s="81"/>
      <c r="D50" s="81"/>
      <c r="E50" s="81"/>
      <c r="F50" s="3">
        <v>2</v>
      </c>
      <c r="G50" s="4" t="s">
        <v>538</v>
      </c>
      <c r="H50" s="3"/>
      <c r="I50" s="4" t="s">
        <v>539</v>
      </c>
      <c r="J50" s="84"/>
      <c r="K50" s="81"/>
      <c r="L50" s="81"/>
      <c r="M50" s="81"/>
    </row>
    <row r="51" spans="1:13" s="9" customFormat="1" ht="36.75" customHeight="1">
      <c r="A51" s="88" t="s">
        <v>21</v>
      </c>
      <c r="B51" s="89"/>
      <c r="C51" s="89"/>
      <c r="D51" s="89"/>
      <c r="E51" s="89"/>
      <c r="F51" s="89"/>
      <c r="G51" s="89"/>
      <c r="H51" s="89"/>
      <c r="I51" s="89"/>
      <c r="J51" s="89"/>
      <c r="K51" s="89"/>
      <c r="L51" s="89"/>
      <c r="M51" s="90"/>
    </row>
    <row r="52" spans="1:13" s="9" customFormat="1">
      <c r="A52" s="91">
        <v>18</v>
      </c>
      <c r="B52" s="91" t="s">
        <v>540</v>
      </c>
      <c r="C52" s="91" t="s">
        <v>541</v>
      </c>
      <c r="D52" s="91" t="s">
        <v>542</v>
      </c>
      <c r="E52" s="91" t="s">
        <v>543</v>
      </c>
      <c r="F52" s="3">
        <v>1</v>
      </c>
      <c r="G52" s="4" t="s">
        <v>544</v>
      </c>
      <c r="H52" s="3"/>
      <c r="I52" s="4" t="s">
        <v>545</v>
      </c>
      <c r="J52" s="94" t="s">
        <v>546</v>
      </c>
      <c r="K52" s="97" t="s">
        <v>398</v>
      </c>
      <c r="L52" s="91" t="s">
        <v>506</v>
      </c>
      <c r="M52" s="98"/>
    </row>
    <row r="53" spans="1:13" s="9" customFormat="1">
      <c r="A53" s="92"/>
      <c r="B53" s="92"/>
      <c r="C53" s="92"/>
      <c r="D53" s="92"/>
      <c r="E53" s="92"/>
      <c r="F53" s="3">
        <v>2</v>
      </c>
      <c r="G53" s="4" t="s">
        <v>547</v>
      </c>
      <c r="H53" s="3" t="s">
        <v>548</v>
      </c>
      <c r="I53" s="4"/>
      <c r="J53" s="95"/>
      <c r="K53" s="92"/>
      <c r="L53" s="92"/>
      <c r="M53" s="92"/>
    </row>
    <row r="54" spans="1:13" s="9" customFormat="1" ht="28.5" customHeight="1">
      <c r="A54" s="92"/>
      <c r="B54" s="92"/>
      <c r="C54" s="92"/>
      <c r="D54" s="92"/>
      <c r="E54" s="92"/>
      <c r="F54" s="3">
        <v>3</v>
      </c>
      <c r="G54" s="4" t="s">
        <v>549</v>
      </c>
      <c r="H54" s="3"/>
      <c r="I54" s="4"/>
      <c r="J54" s="95"/>
      <c r="K54" s="92"/>
      <c r="L54" s="92"/>
      <c r="M54" s="92"/>
    </row>
    <row r="55" spans="1:13" s="9" customFormat="1" ht="28.5" customHeight="1">
      <c r="A55" s="93"/>
      <c r="B55" s="93"/>
      <c r="C55" s="93"/>
      <c r="D55" s="93"/>
      <c r="E55" s="93"/>
      <c r="F55" s="3">
        <v>4</v>
      </c>
      <c r="G55" s="4" t="s">
        <v>550</v>
      </c>
      <c r="H55" s="3"/>
      <c r="I55" s="4" t="s">
        <v>551</v>
      </c>
      <c r="J55" s="96"/>
      <c r="K55" s="93"/>
      <c r="L55" s="93"/>
      <c r="M55" s="93"/>
    </row>
    <row r="56" spans="1:13" s="9" customFormat="1">
      <c r="A56" s="79">
        <v>19</v>
      </c>
      <c r="B56" s="79" t="s">
        <v>552</v>
      </c>
      <c r="C56" s="79" t="s">
        <v>553</v>
      </c>
      <c r="D56" s="79" t="s">
        <v>554</v>
      </c>
      <c r="E56" s="79" t="s">
        <v>543</v>
      </c>
      <c r="F56" s="3">
        <v>1</v>
      </c>
      <c r="G56" s="4" t="s">
        <v>555</v>
      </c>
      <c r="H56" s="3"/>
      <c r="I56" s="4"/>
      <c r="J56" s="82" t="s">
        <v>556</v>
      </c>
      <c r="K56" s="85" t="s">
        <v>398</v>
      </c>
      <c r="L56" s="79" t="s">
        <v>506</v>
      </c>
      <c r="M56" s="86"/>
    </row>
    <row r="57" spans="1:13" s="9" customFormat="1">
      <c r="A57" s="80"/>
      <c r="B57" s="80"/>
      <c r="C57" s="80"/>
      <c r="D57" s="80"/>
      <c r="E57" s="80"/>
      <c r="F57" s="3">
        <v>2</v>
      </c>
      <c r="G57" s="4" t="s">
        <v>557</v>
      </c>
      <c r="H57" s="3" t="s">
        <v>558</v>
      </c>
      <c r="I57" s="4"/>
      <c r="J57" s="83"/>
      <c r="K57" s="80"/>
      <c r="L57" s="80"/>
      <c r="M57" s="80"/>
    </row>
    <row r="58" spans="1:13" s="9" customFormat="1">
      <c r="A58" s="81"/>
      <c r="B58" s="81"/>
      <c r="C58" s="81"/>
      <c r="D58" s="81"/>
      <c r="E58" s="81"/>
      <c r="F58" s="3">
        <v>3</v>
      </c>
      <c r="G58" s="4" t="s">
        <v>559</v>
      </c>
      <c r="H58" s="3"/>
      <c r="I58" s="4" t="s">
        <v>560</v>
      </c>
      <c r="J58" s="84"/>
      <c r="K58" s="81"/>
      <c r="L58" s="81"/>
      <c r="M58" s="81"/>
    </row>
    <row r="59" spans="1:13" s="9" customFormat="1">
      <c r="A59" s="79">
        <v>20</v>
      </c>
      <c r="B59" s="79" t="s">
        <v>561</v>
      </c>
      <c r="C59" s="79" t="s">
        <v>562</v>
      </c>
      <c r="D59" s="79" t="s">
        <v>563</v>
      </c>
      <c r="E59" s="79" t="s">
        <v>564</v>
      </c>
      <c r="F59" s="3">
        <v>1</v>
      </c>
      <c r="G59" s="4" t="s">
        <v>565</v>
      </c>
      <c r="H59" s="3"/>
      <c r="I59" s="4"/>
      <c r="J59" s="82" t="s">
        <v>566</v>
      </c>
      <c r="K59" s="85" t="s">
        <v>398</v>
      </c>
      <c r="L59" s="79" t="s">
        <v>506</v>
      </c>
      <c r="M59" s="79"/>
    </row>
    <row r="60" spans="1:13" s="9" customFormat="1">
      <c r="A60" s="80"/>
      <c r="B60" s="80"/>
      <c r="C60" s="80"/>
      <c r="D60" s="80"/>
      <c r="E60" s="80"/>
      <c r="F60" s="3">
        <v>2</v>
      </c>
      <c r="G60" s="4" t="s">
        <v>504</v>
      </c>
      <c r="H60" s="3"/>
      <c r="I60" s="4"/>
      <c r="J60" s="83"/>
      <c r="K60" s="80"/>
      <c r="L60" s="80"/>
      <c r="M60" s="80"/>
    </row>
    <row r="61" spans="1:13" s="9" customFormat="1">
      <c r="A61" s="81"/>
      <c r="B61" s="81"/>
      <c r="C61" s="81"/>
      <c r="D61" s="81"/>
      <c r="E61" s="81"/>
      <c r="F61" s="3">
        <v>3</v>
      </c>
      <c r="G61" s="4" t="s">
        <v>567</v>
      </c>
      <c r="H61" s="3"/>
      <c r="I61" s="4" t="s">
        <v>568</v>
      </c>
      <c r="J61" s="84"/>
      <c r="K61" s="81"/>
      <c r="L61" s="81"/>
      <c r="M61" s="81"/>
    </row>
    <row r="62" spans="1:13" s="9" customFormat="1">
      <c r="A62" s="79">
        <v>21</v>
      </c>
      <c r="B62" s="79" t="s">
        <v>569</v>
      </c>
      <c r="C62" s="79" t="s">
        <v>570</v>
      </c>
      <c r="D62" s="79" t="s">
        <v>571</v>
      </c>
      <c r="E62" s="79" t="s">
        <v>572</v>
      </c>
      <c r="F62" s="3">
        <v>1</v>
      </c>
      <c r="G62" s="4" t="s">
        <v>573</v>
      </c>
      <c r="H62" s="3"/>
      <c r="I62" s="4"/>
      <c r="J62" s="82"/>
      <c r="K62" s="79"/>
      <c r="L62" s="79"/>
      <c r="M62" s="79"/>
    </row>
    <row r="63" spans="1:13" s="9" customFormat="1">
      <c r="A63" s="81"/>
      <c r="B63" s="81"/>
      <c r="C63" s="81"/>
      <c r="D63" s="81"/>
      <c r="E63" s="81"/>
      <c r="F63" s="3">
        <v>2</v>
      </c>
      <c r="G63" s="4" t="s">
        <v>574</v>
      </c>
      <c r="H63" s="3"/>
      <c r="I63" s="4" t="s">
        <v>575</v>
      </c>
      <c r="J63" s="84"/>
      <c r="K63" s="81"/>
      <c r="L63" s="81"/>
      <c r="M63" s="81"/>
    </row>
    <row r="64" spans="1:13" s="9" customFormat="1">
      <c r="A64" s="79">
        <v>22</v>
      </c>
      <c r="B64" s="79" t="s">
        <v>576</v>
      </c>
      <c r="C64" s="79" t="s">
        <v>577</v>
      </c>
      <c r="D64" s="79" t="s">
        <v>578</v>
      </c>
      <c r="E64" s="79" t="s">
        <v>579</v>
      </c>
      <c r="F64" s="3">
        <v>1</v>
      </c>
      <c r="G64" s="4" t="s">
        <v>555</v>
      </c>
      <c r="H64" s="3"/>
      <c r="I64" s="4"/>
      <c r="J64" s="82" t="s">
        <v>580</v>
      </c>
      <c r="K64" s="87" t="s">
        <v>482</v>
      </c>
      <c r="L64" s="79" t="s">
        <v>506</v>
      </c>
      <c r="M64" s="86" t="s">
        <v>445</v>
      </c>
    </row>
    <row r="65" spans="1:13" s="9" customFormat="1">
      <c r="A65" s="80"/>
      <c r="B65" s="80"/>
      <c r="C65" s="80"/>
      <c r="D65" s="80"/>
      <c r="E65" s="80"/>
      <c r="F65" s="3">
        <v>2</v>
      </c>
      <c r="G65" s="4" t="s">
        <v>581</v>
      </c>
      <c r="H65" s="3" t="s">
        <v>558</v>
      </c>
      <c r="I65" s="4"/>
      <c r="J65" s="83"/>
      <c r="K65" s="80"/>
      <c r="L65" s="80"/>
      <c r="M65" s="80"/>
    </row>
    <row r="66" spans="1:13" s="9" customFormat="1">
      <c r="A66" s="80"/>
      <c r="B66" s="80"/>
      <c r="C66" s="80"/>
      <c r="D66" s="80"/>
      <c r="E66" s="80"/>
      <c r="F66" s="3">
        <v>3</v>
      </c>
      <c r="G66" s="4" t="s">
        <v>582</v>
      </c>
      <c r="H66" s="5">
        <v>50</v>
      </c>
      <c r="I66" s="4"/>
      <c r="J66" s="83"/>
      <c r="K66" s="80"/>
      <c r="L66" s="80"/>
      <c r="M66" s="80"/>
    </row>
    <row r="67" spans="1:13" s="9" customFormat="1">
      <c r="A67" s="81"/>
      <c r="B67" s="81"/>
      <c r="C67" s="81"/>
      <c r="D67" s="81"/>
      <c r="E67" s="81"/>
      <c r="F67" s="3">
        <v>4</v>
      </c>
      <c r="G67" s="4" t="s">
        <v>583</v>
      </c>
      <c r="H67" s="3"/>
      <c r="I67" s="4" t="s">
        <v>584</v>
      </c>
      <c r="J67" s="84"/>
      <c r="K67" s="81"/>
      <c r="L67" s="81"/>
      <c r="M67" s="81"/>
    </row>
    <row r="68" spans="1:13" s="9" customFormat="1">
      <c r="A68" s="79">
        <v>23</v>
      </c>
      <c r="B68" s="79" t="s">
        <v>585</v>
      </c>
      <c r="C68" s="79" t="s">
        <v>586</v>
      </c>
      <c r="D68" s="79" t="s">
        <v>587</v>
      </c>
      <c r="E68" s="79" t="s">
        <v>588</v>
      </c>
      <c r="F68" s="3">
        <v>1</v>
      </c>
      <c r="G68" s="4" t="s">
        <v>589</v>
      </c>
      <c r="H68" s="5">
        <v>100</v>
      </c>
      <c r="I68" s="4"/>
      <c r="J68" s="82"/>
      <c r="K68" s="79"/>
      <c r="L68" s="79"/>
      <c r="M68" s="79"/>
    </row>
    <row r="69" spans="1:13" s="9" customFormat="1">
      <c r="A69" s="81"/>
      <c r="B69" s="81"/>
      <c r="C69" s="81"/>
      <c r="D69" s="81"/>
      <c r="E69" s="81"/>
      <c r="F69" s="3">
        <v>2</v>
      </c>
      <c r="G69" s="4" t="s">
        <v>583</v>
      </c>
      <c r="H69" s="3"/>
      <c r="I69" s="4" t="s">
        <v>590</v>
      </c>
      <c r="J69" s="84"/>
      <c r="K69" s="81"/>
      <c r="L69" s="81"/>
      <c r="M69" s="81"/>
    </row>
    <row r="70" spans="1:13" s="9" customFormat="1">
      <c r="A70" s="79">
        <v>24</v>
      </c>
      <c r="B70" s="79" t="s">
        <v>591</v>
      </c>
      <c r="C70" s="79" t="s">
        <v>592</v>
      </c>
      <c r="D70" s="79" t="s">
        <v>593</v>
      </c>
      <c r="E70" s="79" t="s">
        <v>594</v>
      </c>
      <c r="F70" s="3">
        <v>1</v>
      </c>
      <c r="G70" s="4" t="s">
        <v>595</v>
      </c>
      <c r="H70" s="3"/>
      <c r="I70" s="4"/>
      <c r="J70" s="82"/>
      <c r="K70" s="79"/>
      <c r="L70" s="79"/>
      <c r="M70" s="79"/>
    </row>
    <row r="71" spans="1:13" s="9" customFormat="1" ht="28.5" customHeight="1">
      <c r="A71" s="80"/>
      <c r="B71" s="80"/>
      <c r="C71" s="80"/>
      <c r="D71" s="80"/>
      <c r="E71" s="80"/>
      <c r="F71" s="3">
        <v>2</v>
      </c>
      <c r="G71" s="4" t="s">
        <v>596</v>
      </c>
      <c r="H71" s="3" t="s">
        <v>597</v>
      </c>
      <c r="I71" s="4"/>
      <c r="J71" s="83"/>
      <c r="K71" s="80"/>
      <c r="L71" s="80"/>
      <c r="M71" s="80"/>
    </row>
    <row r="72" spans="1:13" s="9" customFormat="1">
      <c r="A72" s="81"/>
      <c r="B72" s="81"/>
      <c r="C72" s="81"/>
      <c r="D72" s="81"/>
      <c r="E72" s="81"/>
      <c r="F72" s="3">
        <v>3</v>
      </c>
      <c r="G72" s="4" t="s">
        <v>583</v>
      </c>
      <c r="H72" s="3"/>
      <c r="I72" s="4" t="s">
        <v>598</v>
      </c>
      <c r="J72" s="84"/>
      <c r="K72" s="81"/>
      <c r="L72" s="81"/>
      <c r="M72" s="81"/>
    </row>
    <row r="73" spans="1:13" s="9" customFormat="1">
      <c r="A73" s="79">
        <v>25</v>
      </c>
      <c r="B73" s="79" t="s">
        <v>599</v>
      </c>
      <c r="C73" s="79" t="s">
        <v>600</v>
      </c>
      <c r="D73" s="79" t="s">
        <v>601</v>
      </c>
      <c r="E73" s="79" t="s">
        <v>602</v>
      </c>
      <c r="F73" s="3">
        <v>1</v>
      </c>
      <c r="G73" s="4" t="s">
        <v>603</v>
      </c>
      <c r="H73" s="3"/>
      <c r="I73" s="4"/>
      <c r="J73" s="82"/>
      <c r="K73" s="79"/>
      <c r="L73" s="79"/>
      <c r="M73" s="79"/>
    </row>
    <row r="74" spans="1:13" s="9" customFormat="1" ht="28.5" customHeight="1">
      <c r="A74" s="81"/>
      <c r="B74" s="81"/>
      <c r="C74" s="81"/>
      <c r="D74" s="81"/>
      <c r="E74" s="81"/>
      <c r="F74" s="3">
        <v>2</v>
      </c>
      <c r="G74" s="4" t="s">
        <v>604</v>
      </c>
      <c r="H74" s="3"/>
      <c r="I74" s="4" t="s">
        <v>605</v>
      </c>
      <c r="J74" s="84"/>
      <c r="K74" s="81"/>
      <c r="L74" s="81"/>
      <c r="M74" s="81"/>
    </row>
    <row r="75" spans="1:13" s="9" customFormat="1">
      <c r="A75" s="79">
        <v>26</v>
      </c>
      <c r="B75" s="79" t="s">
        <v>606</v>
      </c>
      <c r="C75" s="79" t="s">
        <v>607</v>
      </c>
      <c r="D75" s="79" t="s">
        <v>608</v>
      </c>
      <c r="E75" s="79" t="s">
        <v>594</v>
      </c>
      <c r="F75" s="3">
        <v>1</v>
      </c>
      <c r="G75" s="4" t="s">
        <v>609</v>
      </c>
      <c r="H75" s="3" t="s">
        <v>414</v>
      </c>
      <c r="I75" s="4"/>
      <c r="J75" s="82" t="s">
        <v>610</v>
      </c>
      <c r="K75" s="87" t="s">
        <v>482</v>
      </c>
      <c r="L75" s="79" t="s">
        <v>506</v>
      </c>
      <c r="M75" s="86" t="s">
        <v>445</v>
      </c>
    </row>
    <row r="76" spans="1:13" s="9" customFormat="1">
      <c r="A76" s="81"/>
      <c r="B76" s="81"/>
      <c r="C76" s="81"/>
      <c r="D76" s="81"/>
      <c r="E76" s="81"/>
      <c r="F76" s="3">
        <v>2</v>
      </c>
      <c r="G76" s="4" t="s">
        <v>583</v>
      </c>
      <c r="H76" s="3"/>
      <c r="I76" s="4" t="s">
        <v>611</v>
      </c>
      <c r="J76" s="84"/>
      <c r="K76" s="81"/>
      <c r="L76" s="81"/>
      <c r="M76" s="81"/>
    </row>
    <row r="77" spans="1:13" s="9" customFormat="1" ht="40.5" customHeight="1">
      <c r="A77" s="88" t="s">
        <v>23</v>
      </c>
      <c r="B77" s="89"/>
      <c r="C77" s="89"/>
      <c r="D77" s="89"/>
      <c r="E77" s="89"/>
      <c r="F77" s="89"/>
      <c r="G77" s="89"/>
      <c r="H77" s="89"/>
      <c r="I77" s="89"/>
      <c r="J77" s="89"/>
      <c r="K77" s="89"/>
      <c r="L77" s="89"/>
      <c r="M77" s="90"/>
    </row>
    <row r="78" spans="1:13" s="9" customFormat="1">
      <c r="A78" s="79">
        <v>27</v>
      </c>
      <c r="B78" s="79" t="s">
        <v>612</v>
      </c>
      <c r="C78" s="79" t="s">
        <v>613</v>
      </c>
      <c r="D78" s="79" t="s">
        <v>614</v>
      </c>
      <c r="E78" s="79" t="s">
        <v>615</v>
      </c>
      <c r="F78" s="3">
        <v>1</v>
      </c>
      <c r="G78" s="4" t="s">
        <v>616</v>
      </c>
      <c r="H78" s="3"/>
      <c r="I78" s="4" t="s">
        <v>617</v>
      </c>
      <c r="J78" s="82" t="s">
        <v>618</v>
      </c>
      <c r="K78" s="85" t="s">
        <v>398</v>
      </c>
      <c r="L78" s="79" t="s">
        <v>226</v>
      </c>
      <c r="M78" s="86" t="s">
        <v>445</v>
      </c>
    </row>
    <row r="79" spans="1:13" s="9" customFormat="1">
      <c r="A79" s="80"/>
      <c r="B79" s="80"/>
      <c r="C79" s="80"/>
      <c r="D79" s="80"/>
      <c r="E79" s="80"/>
      <c r="F79" s="3">
        <v>2</v>
      </c>
      <c r="G79" s="4" t="s">
        <v>619</v>
      </c>
      <c r="H79" s="3">
        <v>50</v>
      </c>
      <c r="I79" s="4"/>
      <c r="J79" s="83"/>
      <c r="K79" s="80"/>
      <c r="L79" s="80"/>
      <c r="M79" s="80"/>
    </row>
    <row r="80" spans="1:13" s="9" customFormat="1">
      <c r="A80" s="80"/>
      <c r="B80" s="80"/>
      <c r="C80" s="80"/>
      <c r="D80" s="80"/>
      <c r="E80" s="80"/>
      <c r="F80" s="3">
        <v>3</v>
      </c>
      <c r="G80" s="4" t="s">
        <v>620</v>
      </c>
      <c r="H80" s="3"/>
      <c r="I80" s="4"/>
      <c r="J80" s="83"/>
      <c r="K80" s="80"/>
      <c r="L80" s="80"/>
      <c r="M80" s="80"/>
    </row>
    <row r="81" spans="1:13" s="9" customFormat="1">
      <c r="A81" s="81"/>
      <c r="B81" s="81"/>
      <c r="C81" s="81"/>
      <c r="D81" s="81"/>
      <c r="E81" s="81"/>
      <c r="F81" s="3">
        <v>4</v>
      </c>
      <c r="G81" s="4" t="s">
        <v>621</v>
      </c>
      <c r="H81" s="3"/>
      <c r="I81" s="4" t="s">
        <v>622</v>
      </c>
      <c r="J81" s="84"/>
      <c r="K81" s="81"/>
      <c r="L81" s="81"/>
      <c r="M81" s="81"/>
    </row>
    <row r="82" spans="1:13" s="9" customFormat="1">
      <c r="A82" s="79">
        <v>28</v>
      </c>
      <c r="B82" s="79" t="s">
        <v>623</v>
      </c>
      <c r="C82" s="79" t="s">
        <v>272</v>
      </c>
      <c r="D82" s="79" t="s">
        <v>624</v>
      </c>
      <c r="E82" s="79" t="s">
        <v>625</v>
      </c>
      <c r="F82" s="3">
        <v>1</v>
      </c>
      <c r="G82" s="4" t="s">
        <v>626</v>
      </c>
      <c r="H82" s="3">
        <v>100</v>
      </c>
      <c r="I82" s="4"/>
      <c r="J82" s="82" t="s">
        <v>618</v>
      </c>
      <c r="K82" s="85" t="s">
        <v>398</v>
      </c>
      <c r="L82" s="79" t="s">
        <v>226</v>
      </c>
      <c r="M82" s="86" t="s">
        <v>445</v>
      </c>
    </row>
    <row r="83" spans="1:13" s="9" customFormat="1">
      <c r="A83" s="81"/>
      <c r="B83" s="81"/>
      <c r="C83" s="81"/>
      <c r="D83" s="81"/>
      <c r="E83" s="81"/>
      <c r="F83" s="3">
        <v>2</v>
      </c>
      <c r="G83" s="4" t="s">
        <v>621</v>
      </c>
      <c r="H83" s="3"/>
      <c r="I83" s="4" t="s">
        <v>627</v>
      </c>
      <c r="J83" s="84"/>
      <c r="K83" s="81"/>
      <c r="L83" s="81"/>
      <c r="M83" s="81"/>
    </row>
    <row r="84" spans="1:13" s="9" customFormat="1">
      <c r="A84" s="79">
        <v>29</v>
      </c>
      <c r="B84" s="79" t="s">
        <v>628</v>
      </c>
      <c r="C84" s="79" t="s">
        <v>629</v>
      </c>
      <c r="D84" s="79" t="s">
        <v>630</v>
      </c>
      <c r="E84" s="79" t="s">
        <v>631</v>
      </c>
      <c r="F84" s="3">
        <v>1</v>
      </c>
      <c r="G84" s="4" t="s">
        <v>632</v>
      </c>
      <c r="H84" s="3">
        <v>0</v>
      </c>
      <c r="I84" s="4" t="s">
        <v>633</v>
      </c>
      <c r="J84" s="82" t="s">
        <v>634</v>
      </c>
      <c r="K84" s="87" t="s">
        <v>482</v>
      </c>
      <c r="L84" s="79" t="s">
        <v>226</v>
      </c>
      <c r="M84" s="86" t="s">
        <v>445</v>
      </c>
    </row>
    <row r="85" spans="1:13" s="9" customFormat="1">
      <c r="A85" s="81"/>
      <c r="B85" s="81"/>
      <c r="C85" s="81"/>
      <c r="D85" s="81"/>
      <c r="E85" s="81"/>
      <c r="F85" s="3">
        <v>2</v>
      </c>
      <c r="G85" s="4" t="s">
        <v>635</v>
      </c>
      <c r="H85" s="3">
        <v>-50</v>
      </c>
      <c r="I85" s="4" t="s">
        <v>633</v>
      </c>
      <c r="J85" s="84"/>
      <c r="K85" s="81"/>
      <c r="L85" s="81"/>
      <c r="M85" s="81"/>
    </row>
    <row r="86" spans="1:13" s="9" customFormat="1">
      <c r="A86" s="79">
        <v>30</v>
      </c>
      <c r="B86" s="79" t="s">
        <v>636</v>
      </c>
      <c r="C86" s="79" t="s">
        <v>637</v>
      </c>
      <c r="D86" s="79" t="s">
        <v>638</v>
      </c>
      <c r="E86" s="79" t="s">
        <v>631</v>
      </c>
      <c r="F86" s="3">
        <v>1</v>
      </c>
      <c r="G86" s="4" t="s">
        <v>639</v>
      </c>
      <c r="H86" s="3" t="s">
        <v>640</v>
      </c>
      <c r="I86" s="4" t="s">
        <v>641</v>
      </c>
      <c r="J86" s="82" t="s">
        <v>642</v>
      </c>
      <c r="K86" s="87" t="s">
        <v>482</v>
      </c>
      <c r="L86" s="79" t="s">
        <v>226</v>
      </c>
      <c r="M86" s="86" t="s">
        <v>445</v>
      </c>
    </row>
    <row r="87" spans="1:13" s="9" customFormat="1">
      <c r="A87" s="81"/>
      <c r="B87" s="81"/>
      <c r="C87" s="81"/>
      <c r="D87" s="81"/>
      <c r="E87" s="81"/>
      <c r="F87" s="3">
        <v>2</v>
      </c>
      <c r="G87" s="4" t="s">
        <v>643</v>
      </c>
      <c r="H87" s="3" t="s">
        <v>644</v>
      </c>
      <c r="I87" s="4" t="s">
        <v>641</v>
      </c>
      <c r="J87" s="84"/>
      <c r="K87" s="81"/>
      <c r="L87" s="81"/>
      <c r="M87" s="81"/>
    </row>
    <row r="88" spans="1:13" s="9" customFormat="1">
      <c r="A88" s="79">
        <v>31</v>
      </c>
      <c r="B88" s="79" t="s">
        <v>645</v>
      </c>
      <c r="C88" s="79" t="s">
        <v>646</v>
      </c>
      <c r="D88" s="79" t="s">
        <v>647</v>
      </c>
      <c r="E88" s="79" t="s">
        <v>648</v>
      </c>
      <c r="F88" s="3">
        <v>1</v>
      </c>
      <c r="G88" s="4" t="s">
        <v>649</v>
      </c>
      <c r="H88" s="3"/>
      <c r="I88" s="4"/>
      <c r="J88" s="82"/>
      <c r="K88" s="79"/>
      <c r="L88" s="79"/>
      <c r="M88" s="79"/>
    </row>
    <row r="89" spans="1:13" s="9" customFormat="1" ht="28.5" customHeight="1">
      <c r="A89" s="81"/>
      <c r="B89" s="81"/>
      <c r="C89" s="81"/>
      <c r="D89" s="81"/>
      <c r="E89" s="81"/>
      <c r="F89" s="3">
        <v>2</v>
      </c>
      <c r="G89" s="4" t="s">
        <v>650</v>
      </c>
      <c r="H89" s="3"/>
      <c r="I89" s="4" t="s">
        <v>651</v>
      </c>
      <c r="J89" s="84"/>
      <c r="K89" s="81"/>
      <c r="L89" s="81"/>
      <c r="M89" s="81"/>
    </row>
    <row r="90" spans="1:13" s="9" customFormat="1">
      <c r="A90" s="79">
        <v>32</v>
      </c>
      <c r="B90" s="79" t="s">
        <v>652</v>
      </c>
      <c r="C90" s="79" t="s">
        <v>653</v>
      </c>
      <c r="D90" s="79" t="s">
        <v>654</v>
      </c>
      <c r="E90" s="79" t="s">
        <v>655</v>
      </c>
      <c r="F90" s="3">
        <v>1</v>
      </c>
      <c r="G90" s="4" t="s">
        <v>656</v>
      </c>
      <c r="H90" s="3">
        <v>500</v>
      </c>
      <c r="I90" s="4"/>
      <c r="J90" s="82" t="s">
        <v>657</v>
      </c>
      <c r="K90" s="87" t="s">
        <v>482</v>
      </c>
      <c r="L90" s="79" t="s">
        <v>226</v>
      </c>
      <c r="M90" s="86" t="s">
        <v>445</v>
      </c>
    </row>
    <row r="91" spans="1:13" s="9" customFormat="1">
      <c r="A91" s="81"/>
      <c r="B91" s="81"/>
      <c r="C91" s="81"/>
      <c r="D91" s="81"/>
      <c r="E91" s="81"/>
      <c r="F91" s="3">
        <v>2</v>
      </c>
      <c r="G91" s="4" t="s">
        <v>621</v>
      </c>
      <c r="H91" s="3"/>
      <c r="I91" s="4" t="s">
        <v>658</v>
      </c>
      <c r="J91" s="84"/>
      <c r="K91" s="81"/>
      <c r="L91" s="81"/>
      <c r="M91" s="81"/>
    </row>
    <row r="92" spans="1:13" s="9" customFormat="1">
      <c r="A92" s="79">
        <v>33</v>
      </c>
      <c r="B92" s="79" t="s">
        <v>659</v>
      </c>
      <c r="C92" s="79" t="s">
        <v>282</v>
      </c>
      <c r="D92" s="79" t="s">
        <v>660</v>
      </c>
      <c r="E92" s="79" t="s">
        <v>661</v>
      </c>
      <c r="F92" s="3">
        <v>1</v>
      </c>
      <c r="G92" s="4" t="s">
        <v>662</v>
      </c>
      <c r="H92" s="3">
        <v>12345</v>
      </c>
      <c r="I92" s="4"/>
      <c r="J92" s="82" t="s">
        <v>663</v>
      </c>
      <c r="K92" s="87" t="s">
        <v>482</v>
      </c>
      <c r="L92" s="79" t="s">
        <v>226</v>
      </c>
      <c r="M92" s="86" t="s">
        <v>445</v>
      </c>
    </row>
    <row r="93" spans="1:13" s="9" customFormat="1">
      <c r="A93" s="80"/>
      <c r="B93" s="80"/>
      <c r="C93" s="80"/>
      <c r="D93" s="80"/>
      <c r="E93" s="80"/>
      <c r="F93" s="3">
        <v>2</v>
      </c>
      <c r="G93" s="4" t="s">
        <v>664</v>
      </c>
      <c r="H93" s="3">
        <v>12345</v>
      </c>
      <c r="I93" s="4"/>
      <c r="J93" s="83"/>
      <c r="K93" s="80"/>
      <c r="L93" s="80"/>
      <c r="M93" s="80"/>
    </row>
    <row r="94" spans="1:13" s="9" customFormat="1">
      <c r="A94" s="81"/>
      <c r="B94" s="81"/>
      <c r="C94" s="81"/>
      <c r="D94" s="81"/>
      <c r="E94" s="81"/>
      <c r="F94" s="3">
        <v>3</v>
      </c>
      <c r="G94" s="4" t="s">
        <v>621</v>
      </c>
      <c r="H94" s="3"/>
      <c r="I94" s="4" t="s">
        <v>665</v>
      </c>
      <c r="J94" s="84"/>
      <c r="K94" s="81"/>
      <c r="L94" s="81"/>
      <c r="M94" s="81"/>
    </row>
    <row r="95" spans="1:13" s="9" customFormat="1">
      <c r="A95" s="79">
        <v>34</v>
      </c>
      <c r="B95" s="79" t="s">
        <v>666</v>
      </c>
      <c r="C95" s="79" t="s">
        <v>285</v>
      </c>
      <c r="D95" s="79" t="s">
        <v>667</v>
      </c>
      <c r="E95" s="79" t="s">
        <v>631</v>
      </c>
      <c r="F95" s="3">
        <v>1</v>
      </c>
      <c r="G95" s="4" t="s">
        <v>668</v>
      </c>
      <c r="H95" s="3" t="s">
        <v>414</v>
      </c>
      <c r="I95" s="4"/>
      <c r="J95" s="82" t="s">
        <v>669</v>
      </c>
      <c r="K95" s="87" t="s">
        <v>482</v>
      </c>
      <c r="L95" s="79" t="s">
        <v>226</v>
      </c>
      <c r="M95" s="86" t="s">
        <v>445</v>
      </c>
    </row>
    <row r="96" spans="1:13" s="9" customFormat="1">
      <c r="A96" s="81"/>
      <c r="B96" s="81"/>
      <c r="C96" s="81"/>
      <c r="D96" s="81"/>
      <c r="E96" s="81"/>
      <c r="F96" s="3">
        <v>2</v>
      </c>
      <c r="G96" s="4" t="s">
        <v>621</v>
      </c>
      <c r="H96" s="3"/>
      <c r="I96" s="4" t="s">
        <v>670</v>
      </c>
      <c r="J96" s="84"/>
      <c r="K96" s="81"/>
      <c r="L96" s="81"/>
      <c r="M96" s="81"/>
    </row>
    <row r="97" spans="1:13" s="9" customFormat="1">
      <c r="A97" s="79">
        <v>35</v>
      </c>
      <c r="B97" s="79" t="s">
        <v>671</v>
      </c>
      <c r="C97" s="79" t="s">
        <v>672</v>
      </c>
      <c r="D97" s="79" t="s">
        <v>673</v>
      </c>
      <c r="E97" s="79" t="s">
        <v>631</v>
      </c>
      <c r="F97" s="3">
        <v>1</v>
      </c>
      <c r="G97" s="4" t="s">
        <v>674</v>
      </c>
      <c r="H97" s="3">
        <v>10.555</v>
      </c>
      <c r="I97" s="4"/>
      <c r="J97" s="82"/>
      <c r="K97" s="79"/>
      <c r="L97" s="79"/>
      <c r="M97" s="79"/>
    </row>
    <row r="98" spans="1:13" s="9" customFormat="1">
      <c r="A98" s="81"/>
      <c r="B98" s="81"/>
      <c r="C98" s="81"/>
      <c r="D98" s="81"/>
      <c r="E98" s="81"/>
      <c r="F98" s="3">
        <v>2</v>
      </c>
      <c r="G98" s="4" t="s">
        <v>621</v>
      </c>
      <c r="H98" s="3"/>
      <c r="I98" s="4" t="s">
        <v>675</v>
      </c>
      <c r="J98" s="84"/>
      <c r="K98" s="81"/>
      <c r="L98" s="81"/>
      <c r="M98" s="81"/>
    </row>
    <row r="99" spans="1:13" s="9" customFormat="1">
      <c r="A99" s="79">
        <v>36</v>
      </c>
      <c r="B99" s="79" t="s">
        <v>676</v>
      </c>
      <c r="C99" s="79" t="s">
        <v>677</v>
      </c>
      <c r="D99" s="79" t="s">
        <v>678</v>
      </c>
      <c r="E99" s="79" t="s">
        <v>631</v>
      </c>
      <c r="F99" s="3">
        <v>1</v>
      </c>
      <c r="G99" s="4" t="s">
        <v>679</v>
      </c>
      <c r="H99" s="3">
        <v>999999999</v>
      </c>
      <c r="I99" s="4"/>
      <c r="J99" s="82"/>
      <c r="K99" s="79"/>
      <c r="L99" s="79"/>
      <c r="M99" s="79"/>
    </row>
    <row r="100" spans="1:13" s="9" customFormat="1">
      <c r="A100" s="81"/>
      <c r="B100" s="81"/>
      <c r="C100" s="81"/>
      <c r="D100" s="81"/>
      <c r="E100" s="81"/>
      <c r="F100" s="3">
        <v>2</v>
      </c>
      <c r="G100" s="4" t="s">
        <v>621</v>
      </c>
      <c r="H100" s="3"/>
      <c r="I100" s="4" t="s">
        <v>680</v>
      </c>
      <c r="J100" s="84"/>
      <c r="K100" s="81"/>
      <c r="L100" s="81"/>
      <c r="M100" s="81"/>
    </row>
    <row r="101" spans="1:13" s="9" customFormat="1">
      <c r="A101" s="79">
        <v>37</v>
      </c>
      <c r="B101" s="79" t="s">
        <v>681</v>
      </c>
      <c r="C101" s="79" t="s">
        <v>682</v>
      </c>
      <c r="D101" s="79" t="s">
        <v>683</v>
      </c>
      <c r="E101" s="79" t="s">
        <v>631</v>
      </c>
      <c r="F101" s="3">
        <v>1</v>
      </c>
      <c r="G101" s="4" t="s">
        <v>684</v>
      </c>
      <c r="H101" s="3" t="s">
        <v>685</v>
      </c>
      <c r="I101" s="4"/>
      <c r="J101" s="82" t="s">
        <v>686</v>
      </c>
      <c r="K101" s="87" t="s">
        <v>482</v>
      </c>
      <c r="L101" s="79" t="s">
        <v>226</v>
      </c>
      <c r="M101" s="86" t="s">
        <v>445</v>
      </c>
    </row>
    <row r="102" spans="1:13" s="9" customFormat="1">
      <c r="A102" s="81"/>
      <c r="B102" s="81"/>
      <c r="C102" s="81"/>
      <c r="D102" s="81"/>
      <c r="E102" s="81"/>
      <c r="F102" s="3">
        <v>2</v>
      </c>
      <c r="G102" s="4" t="s">
        <v>621</v>
      </c>
      <c r="H102" s="3"/>
      <c r="I102" s="4" t="s">
        <v>687</v>
      </c>
      <c r="J102" s="84"/>
      <c r="K102" s="81"/>
      <c r="L102" s="81"/>
      <c r="M102" s="81"/>
    </row>
    <row r="103" spans="1:13" s="9" customFormat="1">
      <c r="A103" s="79">
        <v>38</v>
      </c>
      <c r="B103" s="79" t="s">
        <v>688</v>
      </c>
      <c r="C103" s="79" t="s">
        <v>689</v>
      </c>
      <c r="D103" s="79" t="s">
        <v>690</v>
      </c>
      <c r="E103" s="79" t="s">
        <v>691</v>
      </c>
      <c r="F103" s="3">
        <v>1</v>
      </c>
      <c r="G103" s="4" t="s">
        <v>692</v>
      </c>
      <c r="H103" s="3" t="s">
        <v>693</v>
      </c>
      <c r="I103" s="4"/>
      <c r="J103" s="82"/>
      <c r="K103" s="79"/>
      <c r="L103" s="79"/>
      <c r="M103" s="79"/>
    </row>
    <row r="104" spans="1:13" s="9" customFormat="1" ht="28.5" customHeight="1">
      <c r="A104" s="81"/>
      <c r="B104" s="81"/>
      <c r="C104" s="81"/>
      <c r="D104" s="81"/>
      <c r="E104" s="81"/>
      <c r="F104" s="3">
        <v>2</v>
      </c>
      <c r="G104" s="4" t="s">
        <v>621</v>
      </c>
      <c r="H104" s="3"/>
      <c r="I104" s="4" t="s">
        <v>694</v>
      </c>
      <c r="J104" s="84"/>
      <c r="K104" s="81"/>
      <c r="L104" s="81"/>
      <c r="M104" s="81"/>
    </row>
    <row r="105" spans="1:13" s="9" customFormat="1">
      <c r="A105" s="79">
        <v>39</v>
      </c>
      <c r="B105" s="79" t="s">
        <v>695</v>
      </c>
      <c r="C105" s="79" t="s">
        <v>696</v>
      </c>
      <c r="D105" s="79" t="s">
        <v>697</v>
      </c>
      <c r="E105" s="79" t="s">
        <v>631</v>
      </c>
      <c r="F105" s="3">
        <v>1</v>
      </c>
      <c r="G105" s="4" t="s">
        <v>698</v>
      </c>
      <c r="H105" s="3" t="s">
        <v>699</v>
      </c>
      <c r="I105" s="4"/>
      <c r="J105" s="82"/>
      <c r="K105" s="79"/>
      <c r="L105" s="79"/>
      <c r="M105" s="79"/>
    </row>
    <row r="106" spans="1:13" s="9" customFormat="1">
      <c r="A106" s="81"/>
      <c r="B106" s="81"/>
      <c r="C106" s="81"/>
      <c r="D106" s="81"/>
      <c r="E106" s="81"/>
      <c r="F106" s="3">
        <v>2</v>
      </c>
      <c r="G106" s="4" t="s">
        <v>621</v>
      </c>
      <c r="H106" s="3"/>
      <c r="I106" s="4" t="s">
        <v>700</v>
      </c>
      <c r="J106" s="84"/>
      <c r="K106" s="81"/>
      <c r="L106" s="81"/>
      <c r="M106" s="81"/>
    </row>
    <row r="107" spans="1:13" s="9" customFormat="1">
      <c r="A107" s="79">
        <v>40</v>
      </c>
      <c r="B107" s="79" t="s">
        <v>701</v>
      </c>
      <c r="C107" s="79" t="s">
        <v>702</v>
      </c>
      <c r="D107" s="79" t="s">
        <v>703</v>
      </c>
      <c r="E107" s="79" t="s">
        <v>704</v>
      </c>
      <c r="F107" s="3">
        <v>1</v>
      </c>
      <c r="G107" s="4" t="s">
        <v>705</v>
      </c>
      <c r="H107" s="3"/>
      <c r="I107" s="4"/>
      <c r="J107" s="82"/>
      <c r="K107" s="79"/>
      <c r="L107" s="79"/>
      <c r="M107" s="79"/>
    </row>
    <row r="108" spans="1:13" s="9" customFormat="1" ht="28.5" customHeight="1">
      <c r="A108" s="81"/>
      <c r="B108" s="81"/>
      <c r="C108" s="81"/>
      <c r="D108" s="81"/>
      <c r="E108" s="81"/>
      <c r="F108" s="3">
        <v>2</v>
      </c>
      <c r="G108" s="4" t="s">
        <v>706</v>
      </c>
      <c r="H108" s="3"/>
      <c r="I108" s="4" t="s">
        <v>707</v>
      </c>
      <c r="J108" s="84"/>
      <c r="K108" s="81"/>
      <c r="L108" s="81"/>
      <c r="M108" s="81"/>
    </row>
    <row r="109" spans="1:13" s="9" customFormat="1">
      <c r="A109" s="79">
        <v>41</v>
      </c>
      <c r="B109" s="79" t="s">
        <v>708</v>
      </c>
      <c r="C109" s="79" t="s">
        <v>709</v>
      </c>
      <c r="D109" s="79" t="s">
        <v>710</v>
      </c>
      <c r="E109" s="79" t="s">
        <v>711</v>
      </c>
      <c r="F109" s="3">
        <v>1</v>
      </c>
      <c r="G109" s="4" t="s">
        <v>712</v>
      </c>
      <c r="H109" s="3"/>
      <c r="I109" s="4" t="s">
        <v>713</v>
      </c>
      <c r="J109" s="82"/>
      <c r="K109" s="79"/>
      <c r="L109" s="79"/>
      <c r="M109" s="79"/>
    </row>
    <row r="110" spans="1:13" s="9" customFormat="1">
      <c r="A110" s="81"/>
      <c r="B110" s="81"/>
      <c r="C110" s="81"/>
      <c r="D110" s="81"/>
      <c r="E110" s="81"/>
      <c r="F110" s="3">
        <v>2</v>
      </c>
      <c r="G110" s="4" t="s">
        <v>714</v>
      </c>
      <c r="H110" s="3"/>
      <c r="I110" s="4" t="s">
        <v>715</v>
      </c>
      <c r="J110" s="84"/>
      <c r="K110" s="81"/>
      <c r="L110" s="81"/>
      <c r="M110" s="81"/>
    </row>
    <row r="111" spans="1:13" s="9" customFormat="1" ht="41.25" customHeight="1">
      <c r="A111" s="88" t="s">
        <v>25</v>
      </c>
      <c r="B111" s="89"/>
      <c r="C111" s="89"/>
      <c r="D111" s="89"/>
      <c r="E111" s="89"/>
      <c r="F111" s="89"/>
      <c r="G111" s="89"/>
      <c r="H111" s="89"/>
      <c r="I111" s="89"/>
      <c r="J111" s="89"/>
      <c r="K111" s="89"/>
      <c r="L111" s="89"/>
      <c r="M111" s="90"/>
    </row>
    <row r="112" spans="1:13" s="9" customFormat="1">
      <c r="A112" s="79">
        <v>42</v>
      </c>
      <c r="B112" s="79" t="s">
        <v>716</v>
      </c>
      <c r="C112" s="79" t="s">
        <v>291</v>
      </c>
      <c r="D112" s="79" t="s">
        <v>717</v>
      </c>
      <c r="E112" s="79" t="s">
        <v>718</v>
      </c>
      <c r="F112" s="3">
        <v>1</v>
      </c>
      <c r="G112" s="4" t="s">
        <v>719</v>
      </c>
      <c r="H112" s="3"/>
      <c r="I112" s="4"/>
      <c r="J112" s="82" t="s">
        <v>720</v>
      </c>
      <c r="K112" s="85" t="s">
        <v>398</v>
      </c>
      <c r="L112" s="79" t="s">
        <v>506</v>
      </c>
      <c r="M112" s="86" t="s">
        <v>445</v>
      </c>
    </row>
    <row r="113" spans="1:13" s="9" customFormat="1" ht="28.5" customHeight="1">
      <c r="A113" s="80"/>
      <c r="B113" s="80"/>
      <c r="C113" s="80"/>
      <c r="D113" s="80"/>
      <c r="E113" s="80"/>
      <c r="F113" s="3">
        <v>2</v>
      </c>
      <c r="G113" s="4" t="s">
        <v>721</v>
      </c>
      <c r="H113" s="3" t="s">
        <v>484</v>
      </c>
      <c r="I113" s="4"/>
      <c r="J113" s="83"/>
      <c r="K113" s="80"/>
      <c r="L113" s="80"/>
      <c r="M113" s="80"/>
    </row>
    <row r="114" spans="1:13" s="9" customFormat="1">
      <c r="A114" s="81"/>
      <c r="B114" s="81"/>
      <c r="C114" s="81"/>
      <c r="D114" s="81"/>
      <c r="E114" s="81"/>
      <c r="F114" s="3">
        <v>3</v>
      </c>
      <c r="G114" s="4" t="s">
        <v>722</v>
      </c>
      <c r="H114" s="3"/>
      <c r="I114" s="4" t="s">
        <v>723</v>
      </c>
      <c r="J114" s="84"/>
      <c r="K114" s="81"/>
      <c r="L114" s="81"/>
      <c r="M114" s="81"/>
    </row>
    <row r="115" spans="1:13" s="9" customFormat="1">
      <c r="A115" s="79">
        <v>43</v>
      </c>
      <c r="B115" s="79" t="s">
        <v>724</v>
      </c>
      <c r="C115" s="79" t="s">
        <v>294</v>
      </c>
      <c r="D115" s="79" t="s">
        <v>725</v>
      </c>
      <c r="E115" s="79" t="s">
        <v>726</v>
      </c>
      <c r="F115" s="3">
        <v>1</v>
      </c>
      <c r="G115" s="4" t="s">
        <v>727</v>
      </c>
      <c r="H115" s="3"/>
      <c r="I115" s="4"/>
      <c r="J115" s="82" t="s">
        <v>728</v>
      </c>
      <c r="K115" s="85" t="s">
        <v>398</v>
      </c>
      <c r="L115" s="79" t="s">
        <v>506</v>
      </c>
      <c r="M115" s="79"/>
    </row>
    <row r="116" spans="1:13" s="9" customFormat="1">
      <c r="A116" s="80"/>
      <c r="B116" s="80"/>
      <c r="C116" s="80"/>
      <c r="D116" s="80"/>
      <c r="E116" s="80"/>
      <c r="F116" s="3">
        <v>2</v>
      </c>
      <c r="G116" s="4" t="s">
        <v>729</v>
      </c>
      <c r="H116" s="3" t="s">
        <v>414</v>
      </c>
      <c r="I116" s="4"/>
      <c r="J116" s="83"/>
      <c r="K116" s="80"/>
      <c r="L116" s="80"/>
      <c r="M116" s="80"/>
    </row>
    <row r="117" spans="1:13" s="9" customFormat="1">
      <c r="A117" s="81"/>
      <c r="B117" s="81"/>
      <c r="C117" s="81"/>
      <c r="D117" s="81"/>
      <c r="E117" s="81"/>
      <c r="F117" s="3">
        <v>3</v>
      </c>
      <c r="G117" s="4" t="s">
        <v>722</v>
      </c>
      <c r="H117" s="3"/>
      <c r="I117" s="4" t="s">
        <v>730</v>
      </c>
      <c r="J117" s="84"/>
      <c r="K117" s="81"/>
      <c r="L117" s="81"/>
      <c r="M117" s="81"/>
    </row>
    <row r="118" spans="1:13" s="9" customFormat="1">
      <c r="A118" s="79">
        <v>44</v>
      </c>
      <c r="B118" s="79" t="s">
        <v>731</v>
      </c>
      <c r="C118" s="79" t="s">
        <v>732</v>
      </c>
      <c r="D118" s="79" t="s">
        <v>733</v>
      </c>
      <c r="E118" s="79" t="s">
        <v>655</v>
      </c>
      <c r="F118" s="3">
        <v>1</v>
      </c>
      <c r="G118" s="4" t="s">
        <v>734</v>
      </c>
      <c r="H118" s="3"/>
      <c r="I118" s="4"/>
      <c r="J118" s="82" t="s">
        <v>735</v>
      </c>
      <c r="K118" s="87" t="s">
        <v>482</v>
      </c>
      <c r="L118" s="79" t="s">
        <v>506</v>
      </c>
      <c r="M118" s="86" t="s">
        <v>445</v>
      </c>
    </row>
    <row r="119" spans="1:13" s="9" customFormat="1">
      <c r="A119" s="80"/>
      <c r="B119" s="80"/>
      <c r="C119" s="80"/>
      <c r="D119" s="80"/>
      <c r="E119" s="80"/>
      <c r="F119" s="3">
        <v>2</v>
      </c>
      <c r="G119" s="4" t="s">
        <v>736</v>
      </c>
      <c r="H119" s="3">
        <v>100</v>
      </c>
      <c r="I119" s="4"/>
      <c r="J119" s="83"/>
      <c r="K119" s="80"/>
      <c r="L119" s="80"/>
      <c r="M119" s="80"/>
    </row>
    <row r="120" spans="1:13" s="9" customFormat="1">
      <c r="A120" s="81"/>
      <c r="B120" s="81"/>
      <c r="C120" s="81"/>
      <c r="D120" s="81"/>
      <c r="E120" s="81"/>
      <c r="F120" s="3">
        <v>3</v>
      </c>
      <c r="G120" s="4" t="s">
        <v>722</v>
      </c>
      <c r="H120" s="3"/>
      <c r="I120" s="4" t="s">
        <v>737</v>
      </c>
      <c r="J120" s="84"/>
      <c r="K120" s="81"/>
      <c r="L120" s="81"/>
      <c r="M120" s="81"/>
    </row>
    <row r="121" spans="1:13" s="9" customFormat="1">
      <c r="A121" s="79">
        <v>45</v>
      </c>
      <c r="B121" s="79" t="s">
        <v>738</v>
      </c>
      <c r="C121" s="79" t="s">
        <v>739</v>
      </c>
      <c r="D121" s="79" t="s">
        <v>740</v>
      </c>
      <c r="E121" s="79" t="s">
        <v>726</v>
      </c>
      <c r="F121" s="3">
        <v>1</v>
      </c>
      <c r="G121" s="4" t="s">
        <v>741</v>
      </c>
      <c r="H121" s="3">
        <v>12345</v>
      </c>
      <c r="I121" s="4"/>
      <c r="J121" s="82" t="s">
        <v>720</v>
      </c>
      <c r="K121" s="85" t="s">
        <v>398</v>
      </c>
      <c r="L121" s="79" t="s">
        <v>506</v>
      </c>
      <c r="M121" s="86" t="s">
        <v>445</v>
      </c>
    </row>
    <row r="122" spans="1:13" s="9" customFormat="1">
      <c r="A122" s="80"/>
      <c r="B122" s="80"/>
      <c r="C122" s="80"/>
      <c r="D122" s="80"/>
      <c r="E122" s="80"/>
      <c r="F122" s="3">
        <v>2</v>
      </c>
      <c r="G122" s="4" t="s">
        <v>742</v>
      </c>
      <c r="H122" s="3">
        <v>12345</v>
      </c>
      <c r="I122" s="4"/>
      <c r="J122" s="83"/>
      <c r="K122" s="80"/>
      <c r="L122" s="80"/>
      <c r="M122" s="80"/>
    </row>
    <row r="123" spans="1:13" s="9" customFormat="1">
      <c r="A123" s="81"/>
      <c r="B123" s="81"/>
      <c r="C123" s="81"/>
      <c r="D123" s="81"/>
      <c r="E123" s="81"/>
      <c r="F123" s="3">
        <v>3</v>
      </c>
      <c r="G123" s="4" t="s">
        <v>722</v>
      </c>
      <c r="H123" s="3"/>
      <c r="I123" s="4" t="s">
        <v>743</v>
      </c>
      <c r="J123" s="84"/>
      <c r="K123" s="81"/>
      <c r="L123" s="81"/>
      <c r="M123" s="81"/>
    </row>
    <row r="124" spans="1:13" s="9" customFormat="1">
      <c r="A124" s="79">
        <v>46</v>
      </c>
      <c r="B124" s="79" t="s">
        <v>744</v>
      </c>
      <c r="C124" s="79" t="s">
        <v>745</v>
      </c>
      <c r="D124" s="79" t="s">
        <v>746</v>
      </c>
      <c r="E124" s="79" t="s">
        <v>726</v>
      </c>
      <c r="F124" s="3">
        <v>1</v>
      </c>
      <c r="G124" s="4" t="s">
        <v>741</v>
      </c>
      <c r="H124" s="3">
        <v>123</v>
      </c>
      <c r="I124" s="4"/>
      <c r="J124" s="82" t="s">
        <v>747</v>
      </c>
      <c r="K124" s="85" t="s">
        <v>398</v>
      </c>
      <c r="L124" s="79" t="s">
        <v>506</v>
      </c>
      <c r="M124" s="79"/>
    </row>
    <row r="125" spans="1:13" s="9" customFormat="1">
      <c r="A125" s="80"/>
      <c r="B125" s="80"/>
      <c r="C125" s="80"/>
      <c r="D125" s="80"/>
      <c r="E125" s="80"/>
      <c r="F125" s="3">
        <v>2</v>
      </c>
      <c r="G125" s="4" t="s">
        <v>748</v>
      </c>
      <c r="H125" s="3">
        <v>456</v>
      </c>
      <c r="I125" s="4"/>
      <c r="J125" s="83"/>
      <c r="K125" s="80"/>
      <c r="L125" s="80"/>
      <c r="M125" s="80"/>
    </row>
    <row r="126" spans="1:13" s="9" customFormat="1">
      <c r="A126" s="81"/>
      <c r="B126" s="81"/>
      <c r="C126" s="81"/>
      <c r="D126" s="81"/>
      <c r="E126" s="81"/>
      <c r="F126" s="3">
        <v>3</v>
      </c>
      <c r="G126" s="4" t="s">
        <v>722</v>
      </c>
      <c r="H126" s="3"/>
      <c r="I126" s="4" t="s">
        <v>749</v>
      </c>
      <c r="J126" s="84"/>
      <c r="K126" s="81"/>
      <c r="L126" s="81"/>
      <c r="M126" s="81"/>
    </row>
    <row r="127" spans="1:13" s="9" customFormat="1">
      <c r="A127" s="79">
        <v>47</v>
      </c>
      <c r="B127" s="79" t="s">
        <v>750</v>
      </c>
      <c r="C127" s="79" t="s">
        <v>751</v>
      </c>
      <c r="D127" s="79" t="s">
        <v>752</v>
      </c>
      <c r="E127" s="79" t="s">
        <v>726</v>
      </c>
      <c r="F127" s="3">
        <v>1</v>
      </c>
      <c r="G127" s="4" t="s">
        <v>753</v>
      </c>
      <c r="H127" s="3" t="s">
        <v>754</v>
      </c>
      <c r="I127" s="4"/>
      <c r="J127" s="82"/>
      <c r="K127" s="79"/>
      <c r="L127" s="79"/>
      <c r="M127" s="79"/>
    </row>
    <row r="128" spans="1:13" s="9" customFormat="1">
      <c r="A128" s="81"/>
      <c r="B128" s="81"/>
      <c r="C128" s="81"/>
      <c r="D128" s="81"/>
      <c r="E128" s="81"/>
      <c r="F128" s="3">
        <v>2</v>
      </c>
      <c r="G128" s="4" t="s">
        <v>722</v>
      </c>
      <c r="H128" s="3"/>
      <c r="I128" s="4" t="s">
        <v>755</v>
      </c>
      <c r="J128" s="84"/>
      <c r="K128" s="81"/>
      <c r="L128" s="81"/>
      <c r="M128" s="81"/>
    </row>
    <row r="129" spans="1:13" s="9" customFormat="1">
      <c r="A129" s="79">
        <v>48</v>
      </c>
      <c r="B129" s="79" t="s">
        <v>756</v>
      </c>
      <c r="C129" s="79" t="s">
        <v>757</v>
      </c>
      <c r="D129" s="79" t="s">
        <v>758</v>
      </c>
      <c r="E129" s="79" t="s">
        <v>726</v>
      </c>
      <c r="F129" s="3">
        <v>1</v>
      </c>
      <c r="G129" s="4" t="s">
        <v>759</v>
      </c>
      <c r="H129" s="3">
        <v>-20</v>
      </c>
      <c r="I129" s="4"/>
      <c r="J129" s="82" t="s">
        <v>760</v>
      </c>
      <c r="K129" s="87" t="s">
        <v>482</v>
      </c>
      <c r="L129" s="79" t="s">
        <v>506</v>
      </c>
      <c r="M129" s="86" t="s">
        <v>445</v>
      </c>
    </row>
    <row r="130" spans="1:13" s="9" customFormat="1">
      <c r="A130" s="81"/>
      <c r="B130" s="81"/>
      <c r="C130" s="81"/>
      <c r="D130" s="81"/>
      <c r="E130" s="81"/>
      <c r="F130" s="3">
        <v>2</v>
      </c>
      <c r="G130" s="4" t="s">
        <v>722</v>
      </c>
      <c r="H130" s="3"/>
      <c r="I130" s="4" t="s">
        <v>761</v>
      </c>
      <c r="J130" s="84"/>
      <c r="K130" s="81"/>
      <c r="L130" s="81"/>
      <c r="M130" s="81"/>
    </row>
    <row r="131" spans="1:13" s="9" customFormat="1" ht="33.75" customHeight="1">
      <c r="A131" s="88" t="s">
        <v>27</v>
      </c>
      <c r="B131" s="89"/>
      <c r="C131" s="89"/>
      <c r="D131" s="89"/>
      <c r="E131" s="89"/>
      <c r="F131" s="89"/>
      <c r="G131" s="89"/>
      <c r="H131" s="89"/>
      <c r="I131" s="89"/>
      <c r="J131" s="89"/>
      <c r="K131" s="89"/>
      <c r="L131" s="89"/>
      <c r="M131" s="90"/>
    </row>
    <row r="132" spans="1:13" s="9" customFormat="1">
      <c r="A132" s="79">
        <v>49</v>
      </c>
      <c r="B132" s="79" t="s">
        <v>762</v>
      </c>
      <c r="C132" s="79" t="s">
        <v>763</v>
      </c>
      <c r="D132" s="79" t="s">
        <v>764</v>
      </c>
      <c r="E132" s="79" t="s">
        <v>765</v>
      </c>
      <c r="F132" s="3">
        <v>1</v>
      </c>
      <c r="G132" s="4" t="s">
        <v>766</v>
      </c>
      <c r="H132" s="3"/>
      <c r="I132" s="4"/>
      <c r="J132" s="82" t="s">
        <v>767</v>
      </c>
      <c r="K132" s="87" t="s">
        <v>482</v>
      </c>
      <c r="L132" s="79" t="s">
        <v>226</v>
      </c>
      <c r="M132" s="86" t="s">
        <v>445</v>
      </c>
    </row>
    <row r="133" spans="1:13" s="9" customFormat="1">
      <c r="A133" s="80"/>
      <c r="B133" s="80"/>
      <c r="C133" s="80"/>
      <c r="D133" s="80"/>
      <c r="E133" s="80"/>
      <c r="F133" s="3">
        <v>2</v>
      </c>
      <c r="G133" s="4" t="s">
        <v>768</v>
      </c>
      <c r="H133" s="3"/>
      <c r="I133" s="4"/>
      <c r="J133" s="83"/>
      <c r="K133" s="80"/>
      <c r="L133" s="80"/>
      <c r="M133" s="80"/>
    </row>
    <row r="134" spans="1:13" s="9" customFormat="1" ht="42.75" customHeight="1">
      <c r="A134" s="80"/>
      <c r="B134" s="80"/>
      <c r="C134" s="80"/>
      <c r="D134" s="80"/>
      <c r="E134" s="80"/>
      <c r="F134" s="3">
        <v>3</v>
      </c>
      <c r="G134" s="4" t="s">
        <v>769</v>
      </c>
      <c r="H134" s="3" t="s">
        <v>770</v>
      </c>
      <c r="I134" s="4"/>
      <c r="J134" s="83"/>
      <c r="K134" s="80"/>
      <c r="L134" s="80"/>
      <c r="M134" s="80"/>
    </row>
    <row r="135" spans="1:13" s="9" customFormat="1">
      <c r="A135" s="81"/>
      <c r="B135" s="81"/>
      <c r="C135" s="81"/>
      <c r="D135" s="81"/>
      <c r="E135" s="81"/>
      <c r="F135" s="3">
        <v>4</v>
      </c>
      <c r="G135" s="4" t="s">
        <v>771</v>
      </c>
      <c r="H135" s="3"/>
      <c r="I135" s="4" t="s">
        <v>772</v>
      </c>
      <c r="J135" s="84"/>
      <c r="K135" s="81"/>
      <c r="L135" s="81"/>
      <c r="M135" s="81"/>
    </row>
    <row r="136" spans="1:13" s="9" customFormat="1">
      <c r="A136" s="79">
        <v>50</v>
      </c>
      <c r="B136" s="79" t="s">
        <v>773</v>
      </c>
      <c r="C136" s="79" t="s">
        <v>774</v>
      </c>
      <c r="D136" s="79" t="s">
        <v>775</v>
      </c>
      <c r="E136" s="79" t="s">
        <v>765</v>
      </c>
      <c r="F136" s="3">
        <v>1</v>
      </c>
      <c r="G136" s="4" t="s">
        <v>776</v>
      </c>
      <c r="H136" s="6">
        <v>45261</v>
      </c>
      <c r="I136" s="4"/>
      <c r="J136" s="82" t="s">
        <v>777</v>
      </c>
      <c r="K136" s="87" t="s">
        <v>482</v>
      </c>
      <c r="L136" s="79" t="s">
        <v>226</v>
      </c>
      <c r="M136" s="86" t="s">
        <v>445</v>
      </c>
    </row>
    <row r="137" spans="1:13" s="9" customFormat="1">
      <c r="A137" s="81"/>
      <c r="B137" s="81"/>
      <c r="C137" s="81"/>
      <c r="D137" s="81"/>
      <c r="E137" s="81"/>
      <c r="F137" s="3">
        <v>2</v>
      </c>
      <c r="G137" s="4" t="s">
        <v>778</v>
      </c>
      <c r="H137" s="3"/>
      <c r="I137" s="4" t="s">
        <v>779</v>
      </c>
      <c r="J137" s="84"/>
      <c r="K137" s="81"/>
      <c r="L137" s="81"/>
      <c r="M137" s="81"/>
    </row>
    <row r="138" spans="1:13" s="9" customFormat="1">
      <c r="A138" s="79">
        <v>51</v>
      </c>
      <c r="B138" s="79" t="s">
        <v>780</v>
      </c>
      <c r="C138" s="79" t="s">
        <v>781</v>
      </c>
      <c r="D138" s="79" t="s">
        <v>782</v>
      </c>
      <c r="E138" s="79" t="s">
        <v>765</v>
      </c>
      <c r="F138" s="3">
        <v>1</v>
      </c>
      <c r="G138" s="4" t="s">
        <v>783</v>
      </c>
      <c r="H138" s="3">
        <v>50</v>
      </c>
      <c r="I138" s="4"/>
      <c r="J138" s="82" t="s">
        <v>784</v>
      </c>
      <c r="K138" s="87" t="s">
        <v>482</v>
      </c>
      <c r="L138" s="79" t="s">
        <v>226</v>
      </c>
      <c r="M138" s="86" t="s">
        <v>445</v>
      </c>
    </row>
    <row r="139" spans="1:13" s="9" customFormat="1">
      <c r="A139" s="81"/>
      <c r="B139" s="81"/>
      <c r="C139" s="81"/>
      <c r="D139" s="81"/>
      <c r="E139" s="81"/>
      <c r="F139" s="3">
        <v>2</v>
      </c>
      <c r="G139" s="4" t="s">
        <v>778</v>
      </c>
      <c r="H139" s="3"/>
      <c r="I139" s="4" t="s">
        <v>785</v>
      </c>
      <c r="J139" s="84"/>
      <c r="K139" s="81"/>
      <c r="L139" s="81"/>
      <c r="M139" s="81"/>
    </row>
    <row r="140" spans="1:13" s="9" customFormat="1">
      <c r="A140" s="79">
        <v>52</v>
      </c>
      <c r="B140" s="79" t="s">
        <v>786</v>
      </c>
      <c r="C140" s="79" t="s">
        <v>787</v>
      </c>
      <c r="D140" s="79" t="s">
        <v>788</v>
      </c>
      <c r="E140" s="79" t="s">
        <v>789</v>
      </c>
      <c r="F140" s="3">
        <v>1</v>
      </c>
      <c r="G140" s="4" t="s">
        <v>790</v>
      </c>
      <c r="H140" s="3">
        <v>999999</v>
      </c>
      <c r="I140" s="4"/>
      <c r="J140" s="82" t="s">
        <v>791</v>
      </c>
      <c r="K140" s="87" t="s">
        <v>482</v>
      </c>
      <c r="L140" s="79" t="s">
        <v>226</v>
      </c>
      <c r="M140" s="86" t="s">
        <v>445</v>
      </c>
    </row>
    <row r="141" spans="1:13" s="9" customFormat="1">
      <c r="A141" s="81"/>
      <c r="B141" s="81"/>
      <c r="C141" s="81"/>
      <c r="D141" s="81"/>
      <c r="E141" s="81"/>
      <c r="F141" s="3">
        <v>2</v>
      </c>
      <c r="G141" s="4" t="s">
        <v>792</v>
      </c>
      <c r="H141" s="3"/>
      <c r="I141" s="4" t="s">
        <v>793</v>
      </c>
      <c r="J141" s="84"/>
      <c r="K141" s="81"/>
      <c r="L141" s="81"/>
      <c r="M141" s="81"/>
    </row>
    <row r="142" spans="1:13" s="9" customFormat="1">
      <c r="A142" s="79">
        <v>53</v>
      </c>
      <c r="B142" s="79" t="s">
        <v>794</v>
      </c>
      <c r="C142" s="79" t="s">
        <v>795</v>
      </c>
      <c r="D142" s="79" t="s">
        <v>796</v>
      </c>
      <c r="E142" s="79" t="s">
        <v>789</v>
      </c>
      <c r="F142" s="3">
        <v>1</v>
      </c>
      <c r="G142" s="4" t="s">
        <v>797</v>
      </c>
      <c r="H142" s="3" t="s">
        <v>798</v>
      </c>
      <c r="I142" s="4"/>
      <c r="J142" s="82" t="s">
        <v>129</v>
      </c>
      <c r="K142" s="85" t="s">
        <v>398</v>
      </c>
      <c r="L142" s="79" t="s">
        <v>226</v>
      </c>
      <c r="M142" s="86" t="s">
        <v>445</v>
      </c>
    </row>
    <row r="143" spans="1:13" s="9" customFormat="1">
      <c r="A143" s="81"/>
      <c r="B143" s="81"/>
      <c r="C143" s="81"/>
      <c r="D143" s="81"/>
      <c r="E143" s="81"/>
      <c r="F143" s="3">
        <v>2</v>
      </c>
      <c r="G143" s="4" t="s">
        <v>792</v>
      </c>
      <c r="H143" s="3"/>
      <c r="I143" s="4" t="s">
        <v>799</v>
      </c>
      <c r="J143" s="84"/>
      <c r="K143" s="81"/>
      <c r="L143" s="81"/>
      <c r="M143" s="81"/>
    </row>
    <row r="144" spans="1:13" s="9" customFormat="1">
      <c r="A144" s="79">
        <v>54</v>
      </c>
      <c r="B144" s="79" t="s">
        <v>800</v>
      </c>
      <c r="C144" s="79" t="s">
        <v>801</v>
      </c>
      <c r="D144" s="79" t="s">
        <v>802</v>
      </c>
      <c r="E144" s="79" t="s">
        <v>789</v>
      </c>
      <c r="F144" s="3">
        <v>1</v>
      </c>
      <c r="G144" s="4" t="s">
        <v>803</v>
      </c>
      <c r="H144" s="3" t="s">
        <v>804</v>
      </c>
      <c r="I144" s="4"/>
      <c r="J144" s="82" t="s">
        <v>805</v>
      </c>
      <c r="K144" s="87" t="s">
        <v>482</v>
      </c>
      <c r="L144" s="79" t="s">
        <v>226</v>
      </c>
      <c r="M144" s="86" t="s">
        <v>445</v>
      </c>
    </row>
    <row r="145" spans="1:13" s="9" customFormat="1">
      <c r="A145" s="81"/>
      <c r="B145" s="81"/>
      <c r="C145" s="81"/>
      <c r="D145" s="81"/>
      <c r="E145" s="81"/>
      <c r="F145" s="3">
        <v>2</v>
      </c>
      <c r="G145" s="4" t="s">
        <v>792</v>
      </c>
      <c r="H145" s="3"/>
      <c r="I145" s="4" t="s">
        <v>806</v>
      </c>
      <c r="J145" s="84"/>
      <c r="K145" s="81"/>
      <c r="L145" s="81"/>
      <c r="M145" s="81"/>
    </row>
    <row r="146" spans="1:13" s="9" customFormat="1">
      <c r="A146" s="79">
        <v>55</v>
      </c>
      <c r="B146" s="79" t="s">
        <v>807</v>
      </c>
      <c r="C146" s="79" t="s">
        <v>808</v>
      </c>
      <c r="D146" s="79" t="s">
        <v>809</v>
      </c>
      <c r="E146" s="79" t="s">
        <v>789</v>
      </c>
      <c r="F146" s="3">
        <v>1</v>
      </c>
      <c r="G146" s="4" t="s">
        <v>810</v>
      </c>
      <c r="H146" s="6">
        <v>47484</v>
      </c>
      <c r="I146" s="4"/>
      <c r="J146" s="82"/>
      <c r="K146" s="79"/>
      <c r="L146" s="79"/>
      <c r="M146" s="79"/>
    </row>
    <row r="147" spans="1:13" s="9" customFormat="1">
      <c r="A147" s="81"/>
      <c r="B147" s="81"/>
      <c r="C147" s="81"/>
      <c r="D147" s="81"/>
      <c r="E147" s="81"/>
      <c r="F147" s="3">
        <v>2</v>
      </c>
      <c r="G147" s="4" t="s">
        <v>792</v>
      </c>
      <c r="H147" s="3"/>
      <c r="I147" s="4" t="s">
        <v>811</v>
      </c>
      <c r="J147" s="84"/>
      <c r="K147" s="81"/>
      <c r="L147" s="81"/>
      <c r="M147" s="81"/>
    </row>
    <row r="148" spans="1:13" s="9" customFormat="1">
      <c r="A148" s="79">
        <v>56</v>
      </c>
      <c r="B148" s="79" t="s">
        <v>812</v>
      </c>
      <c r="C148" s="79" t="s">
        <v>813</v>
      </c>
      <c r="D148" s="79" t="s">
        <v>814</v>
      </c>
      <c r="E148" s="79" t="s">
        <v>765</v>
      </c>
      <c r="F148" s="3">
        <v>1</v>
      </c>
      <c r="G148" s="4" t="s">
        <v>815</v>
      </c>
      <c r="H148" s="6">
        <v>44927</v>
      </c>
      <c r="I148" s="4"/>
      <c r="J148" s="82"/>
      <c r="K148" s="79"/>
      <c r="L148" s="79"/>
      <c r="M148" s="79"/>
    </row>
    <row r="149" spans="1:13" s="9" customFormat="1">
      <c r="A149" s="80"/>
      <c r="B149" s="80"/>
      <c r="C149" s="80"/>
      <c r="D149" s="80"/>
      <c r="E149" s="80"/>
      <c r="F149" s="3">
        <v>2</v>
      </c>
      <c r="G149" s="4" t="s">
        <v>816</v>
      </c>
      <c r="H149" s="6">
        <v>45291</v>
      </c>
      <c r="I149" s="4"/>
      <c r="J149" s="83"/>
      <c r="K149" s="80"/>
      <c r="L149" s="80"/>
      <c r="M149" s="80"/>
    </row>
    <row r="150" spans="1:13" s="9" customFormat="1">
      <c r="A150" s="81"/>
      <c r="B150" s="81"/>
      <c r="C150" s="81"/>
      <c r="D150" s="81"/>
      <c r="E150" s="81"/>
      <c r="F150" s="3">
        <v>3</v>
      </c>
      <c r="G150" s="4" t="s">
        <v>792</v>
      </c>
      <c r="H150" s="3"/>
      <c r="I150" s="4" t="s">
        <v>817</v>
      </c>
      <c r="J150" s="84"/>
      <c r="K150" s="81"/>
      <c r="L150" s="81"/>
      <c r="M150" s="81"/>
    </row>
    <row r="151" spans="1:13" s="9" customFormat="1">
      <c r="A151" s="79">
        <v>57</v>
      </c>
      <c r="B151" s="79" t="s">
        <v>818</v>
      </c>
      <c r="C151" s="79" t="s">
        <v>819</v>
      </c>
      <c r="D151" s="79" t="s">
        <v>820</v>
      </c>
      <c r="E151" s="79" t="s">
        <v>789</v>
      </c>
      <c r="F151" s="3">
        <v>1</v>
      </c>
      <c r="G151" s="4" t="s">
        <v>821</v>
      </c>
      <c r="H151" s="3" t="s">
        <v>822</v>
      </c>
      <c r="I151" s="4"/>
      <c r="J151" s="82"/>
      <c r="K151" s="79"/>
      <c r="L151" s="79"/>
      <c r="M151" s="79"/>
    </row>
    <row r="152" spans="1:13" s="9" customFormat="1">
      <c r="A152" s="80"/>
      <c r="B152" s="80"/>
      <c r="C152" s="80"/>
      <c r="D152" s="80"/>
      <c r="E152" s="80"/>
      <c r="F152" s="3">
        <v>2</v>
      </c>
      <c r="G152" s="4" t="s">
        <v>823</v>
      </c>
      <c r="H152" s="3" t="s">
        <v>824</v>
      </c>
      <c r="I152" s="4"/>
      <c r="J152" s="83"/>
      <c r="K152" s="80"/>
      <c r="L152" s="80"/>
      <c r="M152" s="80"/>
    </row>
    <row r="153" spans="1:13" s="9" customFormat="1">
      <c r="A153" s="81"/>
      <c r="B153" s="81"/>
      <c r="C153" s="81"/>
      <c r="D153" s="81"/>
      <c r="E153" s="81"/>
      <c r="F153" s="3">
        <v>3</v>
      </c>
      <c r="G153" s="4" t="s">
        <v>792</v>
      </c>
      <c r="H153" s="3"/>
      <c r="I153" s="4" t="s">
        <v>825</v>
      </c>
      <c r="J153" s="84"/>
      <c r="K153" s="81"/>
      <c r="L153" s="81"/>
      <c r="M153" s="81"/>
    </row>
    <row r="154" spans="1:13" s="9" customFormat="1">
      <c r="A154" s="79">
        <v>58</v>
      </c>
      <c r="B154" s="79" t="s">
        <v>826</v>
      </c>
      <c r="C154" s="79" t="s">
        <v>827</v>
      </c>
      <c r="D154" s="79" t="s">
        <v>828</v>
      </c>
      <c r="E154" s="79" t="s">
        <v>789</v>
      </c>
      <c r="F154" s="3">
        <v>1</v>
      </c>
      <c r="G154" s="4" t="s">
        <v>829</v>
      </c>
      <c r="H154" s="6">
        <v>44927</v>
      </c>
      <c r="I154" s="4"/>
      <c r="J154" s="82"/>
      <c r="K154" s="79"/>
      <c r="L154" s="79"/>
      <c r="M154" s="79"/>
    </row>
    <row r="155" spans="1:13" s="9" customFormat="1">
      <c r="A155" s="80"/>
      <c r="B155" s="80"/>
      <c r="C155" s="80"/>
      <c r="D155" s="80"/>
      <c r="E155" s="80"/>
      <c r="F155" s="3">
        <v>2</v>
      </c>
      <c r="G155" s="4" t="s">
        <v>830</v>
      </c>
      <c r="H155" s="3" t="s">
        <v>414</v>
      </c>
      <c r="I155" s="4"/>
      <c r="J155" s="83"/>
      <c r="K155" s="80"/>
      <c r="L155" s="80"/>
      <c r="M155" s="80"/>
    </row>
    <row r="156" spans="1:13" s="9" customFormat="1">
      <c r="A156" s="81"/>
      <c r="B156" s="81"/>
      <c r="C156" s="81"/>
      <c r="D156" s="81"/>
      <c r="E156" s="81"/>
      <c r="F156" s="3">
        <v>3</v>
      </c>
      <c r="G156" s="4" t="s">
        <v>792</v>
      </c>
      <c r="H156" s="3"/>
      <c r="I156" s="4" t="s">
        <v>831</v>
      </c>
      <c r="J156" s="84"/>
      <c r="K156" s="81"/>
      <c r="L156" s="81"/>
      <c r="M156" s="81"/>
    </row>
    <row r="157" spans="1:13" s="9" customFormat="1">
      <c r="A157" s="79">
        <v>59</v>
      </c>
      <c r="B157" s="79" t="s">
        <v>832</v>
      </c>
      <c r="C157" s="79" t="s">
        <v>833</v>
      </c>
      <c r="D157" s="79" t="s">
        <v>834</v>
      </c>
      <c r="E157" s="79" t="s">
        <v>789</v>
      </c>
      <c r="F157" s="3">
        <v>1</v>
      </c>
      <c r="G157" s="4" t="s">
        <v>835</v>
      </c>
      <c r="H157" s="3">
        <v>-50</v>
      </c>
      <c r="I157" s="4"/>
      <c r="J157" s="82"/>
      <c r="K157" s="79"/>
      <c r="L157" s="79"/>
      <c r="M157" s="79"/>
    </row>
    <row r="158" spans="1:13" s="9" customFormat="1" ht="28.5" customHeight="1">
      <c r="A158" s="81"/>
      <c r="B158" s="81"/>
      <c r="C158" s="81"/>
      <c r="D158" s="81"/>
      <c r="E158" s="81"/>
      <c r="F158" s="3">
        <v>2</v>
      </c>
      <c r="G158" s="4" t="s">
        <v>792</v>
      </c>
      <c r="H158" s="3"/>
      <c r="I158" s="4" t="s">
        <v>836</v>
      </c>
      <c r="J158" s="84"/>
      <c r="K158" s="81"/>
      <c r="L158" s="81"/>
      <c r="M158" s="81"/>
    </row>
    <row r="159" spans="1:13" s="9" customFormat="1">
      <c r="A159" s="79">
        <v>60</v>
      </c>
      <c r="B159" s="79" t="s">
        <v>837</v>
      </c>
      <c r="C159" s="79" t="s">
        <v>838</v>
      </c>
      <c r="D159" s="79" t="s">
        <v>839</v>
      </c>
      <c r="E159" s="79" t="s">
        <v>789</v>
      </c>
      <c r="F159" s="3">
        <v>1</v>
      </c>
      <c r="G159" s="4" t="s">
        <v>840</v>
      </c>
      <c r="H159" s="3" t="s">
        <v>414</v>
      </c>
      <c r="I159" s="4"/>
      <c r="J159" s="82"/>
      <c r="K159" s="79"/>
      <c r="L159" s="79"/>
      <c r="M159" s="79"/>
    </row>
    <row r="160" spans="1:13" s="9" customFormat="1">
      <c r="A160" s="81"/>
      <c r="B160" s="81"/>
      <c r="C160" s="81"/>
      <c r="D160" s="81"/>
      <c r="E160" s="81"/>
      <c r="F160" s="3">
        <v>2</v>
      </c>
      <c r="G160" s="4" t="s">
        <v>841</v>
      </c>
      <c r="H160" s="3"/>
      <c r="I160" s="4" t="s">
        <v>842</v>
      </c>
      <c r="J160" s="84"/>
      <c r="K160" s="81"/>
      <c r="L160" s="81"/>
      <c r="M160" s="81"/>
    </row>
    <row r="161" spans="1:13" s="9" customFormat="1">
      <c r="A161" s="79">
        <v>61</v>
      </c>
      <c r="B161" s="79" t="s">
        <v>843</v>
      </c>
      <c r="C161" s="79" t="s">
        <v>844</v>
      </c>
      <c r="D161" s="79" t="s">
        <v>845</v>
      </c>
      <c r="E161" s="79" t="s">
        <v>765</v>
      </c>
      <c r="F161" s="3">
        <v>1</v>
      </c>
      <c r="G161" s="4" t="s">
        <v>846</v>
      </c>
      <c r="H161" s="3" t="s">
        <v>847</v>
      </c>
      <c r="I161" s="4"/>
      <c r="J161" s="82"/>
      <c r="K161" s="79"/>
      <c r="L161" s="79"/>
      <c r="M161" s="79"/>
    </row>
    <row r="162" spans="1:13" s="9" customFormat="1">
      <c r="A162" s="81"/>
      <c r="B162" s="81"/>
      <c r="C162" s="81"/>
      <c r="D162" s="81"/>
      <c r="E162" s="81"/>
      <c r="F162" s="3">
        <v>2</v>
      </c>
      <c r="G162" s="4" t="s">
        <v>792</v>
      </c>
      <c r="H162" s="3"/>
      <c r="I162" s="4" t="s">
        <v>848</v>
      </c>
      <c r="J162" s="84"/>
      <c r="K162" s="81"/>
      <c r="L162" s="81"/>
      <c r="M162" s="81"/>
    </row>
    <row r="163" spans="1:13" s="9" customFormat="1">
      <c r="A163" s="79">
        <v>62</v>
      </c>
      <c r="B163" s="79" t="s">
        <v>849</v>
      </c>
      <c r="C163" s="79" t="s">
        <v>850</v>
      </c>
      <c r="D163" s="79" t="s">
        <v>851</v>
      </c>
      <c r="E163" s="79" t="s">
        <v>789</v>
      </c>
      <c r="F163" s="3">
        <v>1</v>
      </c>
      <c r="G163" s="4" t="s">
        <v>852</v>
      </c>
      <c r="H163" s="3" t="s">
        <v>853</v>
      </c>
      <c r="I163" s="4"/>
      <c r="J163" s="82"/>
      <c r="K163" s="79"/>
      <c r="L163" s="79"/>
      <c r="M163" s="79"/>
    </row>
    <row r="164" spans="1:13" s="9" customFormat="1">
      <c r="A164" s="81"/>
      <c r="B164" s="81"/>
      <c r="C164" s="81"/>
      <c r="D164" s="81"/>
      <c r="E164" s="81"/>
      <c r="F164" s="3">
        <v>2</v>
      </c>
      <c r="G164" s="4" t="s">
        <v>792</v>
      </c>
      <c r="H164" s="3"/>
      <c r="I164" s="4" t="s">
        <v>854</v>
      </c>
      <c r="J164" s="84"/>
      <c r="K164" s="81"/>
      <c r="L164" s="81"/>
      <c r="M164" s="81"/>
    </row>
    <row r="165" spans="1:13" s="9" customFormat="1" ht="35.25" customHeight="1">
      <c r="A165" s="88" t="s">
        <v>30</v>
      </c>
      <c r="B165" s="89"/>
      <c r="C165" s="89"/>
      <c r="D165" s="89"/>
      <c r="E165" s="89"/>
      <c r="F165" s="89"/>
      <c r="G165" s="89"/>
      <c r="H165" s="89"/>
      <c r="I165" s="89"/>
      <c r="J165" s="89"/>
      <c r="K165" s="89"/>
      <c r="L165" s="89"/>
      <c r="M165" s="90"/>
    </row>
    <row r="166" spans="1:13" s="9" customFormat="1">
      <c r="A166" s="79">
        <v>63</v>
      </c>
      <c r="B166" s="79" t="s">
        <v>855</v>
      </c>
      <c r="C166" s="79" t="s">
        <v>856</v>
      </c>
      <c r="D166" s="79" t="s">
        <v>857</v>
      </c>
      <c r="E166" s="79" t="s">
        <v>858</v>
      </c>
      <c r="F166" s="3">
        <v>1</v>
      </c>
      <c r="G166" s="4" t="s">
        <v>859</v>
      </c>
      <c r="H166" s="3"/>
      <c r="I166" s="4"/>
      <c r="J166" s="82" t="s">
        <v>860</v>
      </c>
      <c r="K166" s="85" t="s">
        <v>398</v>
      </c>
      <c r="L166" s="79" t="s">
        <v>861</v>
      </c>
      <c r="M166" s="86" t="s">
        <v>445</v>
      </c>
    </row>
    <row r="167" spans="1:13" s="9" customFormat="1">
      <c r="A167" s="80"/>
      <c r="B167" s="80"/>
      <c r="C167" s="80"/>
      <c r="D167" s="80"/>
      <c r="E167" s="80"/>
      <c r="F167" s="3">
        <v>2</v>
      </c>
      <c r="G167" s="4" t="s">
        <v>862</v>
      </c>
      <c r="H167" s="3"/>
      <c r="I167" s="4"/>
      <c r="J167" s="83"/>
      <c r="K167" s="80"/>
      <c r="L167" s="80"/>
      <c r="M167" s="80"/>
    </row>
    <row r="168" spans="1:13" s="9" customFormat="1" ht="28.5" customHeight="1">
      <c r="A168" s="81"/>
      <c r="B168" s="81"/>
      <c r="C168" s="81"/>
      <c r="D168" s="81"/>
      <c r="E168" s="81"/>
      <c r="F168" s="3">
        <v>3</v>
      </c>
      <c r="G168" s="4" t="s">
        <v>863</v>
      </c>
      <c r="H168" s="3"/>
      <c r="I168" s="4" t="s">
        <v>864</v>
      </c>
      <c r="J168" s="84"/>
      <c r="K168" s="81"/>
      <c r="L168" s="81"/>
      <c r="M168" s="81"/>
    </row>
    <row r="169" spans="1:13" s="9" customFormat="1">
      <c r="A169" s="79">
        <v>64</v>
      </c>
      <c r="B169" s="79" t="s">
        <v>865</v>
      </c>
      <c r="C169" s="79" t="s">
        <v>866</v>
      </c>
      <c r="D169" s="79" t="s">
        <v>867</v>
      </c>
      <c r="E169" s="79" t="s">
        <v>858</v>
      </c>
      <c r="F169" s="3">
        <v>1</v>
      </c>
      <c r="G169" s="4" t="s">
        <v>868</v>
      </c>
      <c r="H169" s="3"/>
      <c r="I169" s="4"/>
      <c r="J169" s="82" t="s">
        <v>869</v>
      </c>
      <c r="K169" s="85" t="s">
        <v>398</v>
      </c>
      <c r="L169" s="79" t="s">
        <v>861</v>
      </c>
      <c r="M169" s="86" t="s">
        <v>445</v>
      </c>
    </row>
    <row r="170" spans="1:13" s="9" customFormat="1">
      <c r="A170" s="81"/>
      <c r="B170" s="81"/>
      <c r="C170" s="81"/>
      <c r="D170" s="81"/>
      <c r="E170" s="81"/>
      <c r="F170" s="3">
        <v>2</v>
      </c>
      <c r="G170" s="4" t="s">
        <v>870</v>
      </c>
      <c r="H170" s="3"/>
      <c r="I170" s="4" t="s">
        <v>871</v>
      </c>
      <c r="J170" s="84"/>
      <c r="K170" s="81"/>
      <c r="L170" s="81"/>
      <c r="M170" s="81"/>
    </row>
    <row r="171" spans="1:13" s="9" customFormat="1">
      <c r="A171" s="79">
        <v>65</v>
      </c>
      <c r="B171" s="79" t="s">
        <v>872</v>
      </c>
      <c r="C171" s="79" t="s">
        <v>873</v>
      </c>
      <c r="D171" s="79" t="s">
        <v>874</v>
      </c>
      <c r="E171" s="79" t="s">
        <v>858</v>
      </c>
      <c r="F171" s="3">
        <v>1</v>
      </c>
      <c r="G171" s="4" t="s">
        <v>868</v>
      </c>
      <c r="H171" s="3"/>
      <c r="I171" s="4"/>
      <c r="J171" s="82"/>
      <c r="K171" s="79"/>
      <c r="L171" s="79"/>
      <c r="M171" s="79"/>
    </row>
    <row r="172" spans="1:13" s="9" customFormat="1" ht="28.5" customHeight="1">
      <c r="A172" s="81"/>
      <c r="B172" s="81"/>
      <c r="C172" s="81"/>
      <c r="D172" s="81"/>
      <c r="E172" s="81"/>
      <c r="F172" s="3">
        <v>2</v>
      </c>
      <c r="G172" s="4" t="s">
        <v>875</v>
      </c>
      <c r="H172" s="3"/>
      <c r="I172" s="4" t="s">
        <v>876</v>
      </c>
      <c r="J172" s="84"/>
      <c r="K172" s="81"/>
      <c r="L172" s="81"/>
      <c r="M172" s="81"/>
    </row>
    <row r="173" spans="1:13" s="9" customFormat="1">
      <c r="A173" s="79">
        <v>66</v>
      </c>
      <c r="B173" s="79" t="s">
        <v>877</v>
      </c>
      <c r="C173" s="79" t="s">
        <v>878</v>
      </c>
      <c r="D173" s="79" t="s">
        <v>879</v>
      </c>
      <c r="E173" s="79" t="s">
        <v>880</v>
      </c>
      <c r="F173" s="3">
        <v>1</v>
      </c>
      <c r="G173" s="4" t="s">
        <v>881</v>
      </c>
      <c r="H173" s="3"/>
      <c r="I173" s="4"/>
      <c r="J173" s="82"/>
      <c r="K173" s="79"/>
      <c r="L173" s="79"/>
      <c r="M173" s="79"/>
    </row>
    <row r="174" spans="1:13" s="9" customFormat="1">
      <c r="A174" s="81"/>
      <c r="B174" s="81"/>
      <c r="C174" s="81"/>
      <c r="D174" s="81"/>
      <c r="E174" s="81"/>
      <c r="F174" s="3">
        <v>2</v>
      </c>
      <c r="G174" s="4" t="s">
        <v>882</v>
      </c>
      <c r="H174" s="3"/>
      <c r="I174" s="4" t="s">
        <v>883</v>
      </c>
      <c r="J174" s="84"/>
      <c r="K174" s="81"/>
      <c r="L174" s="81"/>
      <c r="M174" s="81"/>
    </row>
    <row r="175" spans="1:13" s="9" customFormat="1">
      <c r="A175" s="79">
        <v>67</v>
      </c>
      <c r="B175" s="79" t="s">
        <v>884</v>
      </c>
      <c r="C175" s="79" t="s">
        <v>885</v>
      </c>
      <c r="D175" s="79" t="s">
        <v>886</v>
      </c>
      <c r="E175" s="79" t="s">
        <v>887</v>
      </c>
      <c r="F175" s="3">
        <v>1</v>
      </c>
      <c r="G175" s="4" t="s">
        <v>888</v>
      </c>
      <c r="H175" s="3" t="s">
        <v>889</v>
      </c>
      <c r="I175" s="4"/>
      <c r="J175" s="82" t="s">
        <v>890</v>
      </c>
      <c r="K175" s="85" t="s">
        <v>398</v>
      </c>
      <c r="L175" s="79" t="s">
        <v>861</v>
      </c>
      <c r="M175" s="79"/>
    </row>
    <row r="176" spans="1:13" s="9" customFormat="1">
      <c r="A176" s="80"/>
      <c r="B176" s="80"/>
      <c r="C176" s="80"/>
      <c r="D176" s="80"/>
      <c r="E176" s="80"/>
      <c r="F176" s="3">
        <v>2</v>
      </c>
      <c r="G176" s="4" t="s">
        <v>891</v>
      </c>
      <c r="H176" s="3"/>
      <c r="I176" s="4"/>
      <c r="J176" s="83"/>
      <c r="K176" s="80"/>
      <c r="L176" s="80"/>
      <c r="M176" s="80"/>
    </row>
    <row r="177" spans="1:13" s="9" customFormat="1">
      <c r="A177" s="81"/>
      <c r="B177" s="81"/>
      <c r="C177" s="81"/>
      <c r="D177" s="81"/>
      <c r="E177" s="81"/>
      <c r="F177" s="3">
        <v>3</v>
      </c>
      <c r="G177" s="4" t="s">
        <v>892</v>
      </c>
      <c r="H177" s="3"/>
      <c r="I177" s="4" t="s">
        <v>893</v>
      </c>
      <c r="J177" s="84"/>
      <c r="K177" s="81"/>
      <c r="L177" s="81"/>
      <c r="M177" s="81"/>
    </row>
    <row r="178" spans="1:13" s="9" customFormat="1">
      <c r="A178" s="79">
        <v>68</v>
      </c>
      <c r="B178" s="79" t="s">
        <v>894</v>
      </c>
      <c r="C178" s="79" t="s">
        <v>895</v>
      </c>
      <c r="D178" s="79" t="s">
        <v>896</v>
      </c>
      <c r="E178" s="79" t="s">
        <v>897</v>
      </c>
      <c r="F178" s="3">
        <v>1</v>
      </c>
      <c r="G178" s="4" t="s">
        <v>898</v>
      </c>
      <c r="H178" s="3" t="s">
        <v>899</v>
      </c>
      <c r="I178" s="4"/>
      <c r="J178" s="82"/>
      <c r="K178" s="79"/>
      <c r="L178" s="79"/>
      <c r="M178" s="79"/>
    </row>
    <row r="179" spans="1:13" s="9" customFormat="1">
      <c r="A179" s="81"/>
      <c r="B179" s="81"/>
      <c r="C179" s="81"/>
      <c r="D179" s="81"/>
      <c r="E179" s="81"/>
      <c r="F179" s="3">
        <v>2</v>
      </c>
      <c r="G179" s="4" t="s">
        <v>900</v>
      </c>
      <c r="H179" s="3"/>
      <c r="I179" s="4" t="s">
        <v>901</v>
      </c>
      <c r="J179" s="84"/>
      <c r="K179" s="81"/>
      <c r="L179" s="81"/>
      <c r="M179" s="81"/>
    </row>
    <row r="180" spans="1:13" s="9" customFormat="1">
      <c r="A180" s="79">
        <v>69</v>
      </c>
      <c r="B180" s="79" t="s">
        <v>902</v>
      </c>
      <c r="C180" s="79" t="s">
        <v>903</v>
      </c>
      <c r="D180" s="79" t="s">
        <v>904</v>
      </c>
      <c r="E180" s="79" t="s">
        <v>887</v>
      </c>
      <c r="F180" s="3">
        <v>1</v>
      </c>
      <c r="G180" s="4" t="s">
        <v>905</v>
      </c>
      <c r="H180" s="3" t="s">
        <v>906</v>
      </c>
      <c r="I180" s="4"/>
      <c r="J180" s="82"/>
      <c r="K180" s="79"/>
      <c r="L180" s="79"/>
      <c r="M180" s="79"/>
    </row>
    <row r="181" spans="1:13" s="9" customFormat="1">
      <c r="A181" s="81"/>
      <c r="B181" s="81"/>
      <c r="C181" s="81"/>
      <c r="D181" s="81"/>
      <c r="E181" s="81"/>
      <c r="F181" s="3">
        <v>2</v>
      </c>
      <c r="G181" s="4" t="s">
        <v>900</v>
      </c>
      <c r="H181" s="3"/>
      <c r="I181" s="4" t="s">
        <v>907</v>
      </c>
      <c r="J181" s="84"/>
      <c r="K181" s="81"/>
      <c r="L181" s="81"/>
      <c r="M181" s="81"/>
    </row>
    <row r="182" spans="1:13" s="9" customFormat="1">
      <c r="A182" s="79">
        <v>70</v>
      </c>
      <c r="B182" s="79" t="s">
        <v>908</v>
      </c>
      <c r="C182" s="79" t="s">
        <v>909</v>
      </c>
      <c r="D182" s="79" t="s">
        <v>910</v>
      </c>
      <c r="E182" s="79" t="s">
        <v>911</v>
      </c>
      <c r="F182" s="3">
        <v>1</v>
      </c>
      <c r="G182" s="4" t="s">
        <v>912</v>
      </c>
      <c r="H182" s="3" t="s">
        <v>913</v>
      </c>
      <c r="I182" s="4"/>
      <c r="J182" s="82" t="s">
        <v>914</v>
      </c>
      <c r="K182" s="85" t="s">
        <v>398</v>
      </c>
      <c r="L182" s="79" t="s">
        <v>861</v>
      </c>
      <c r="M182" s="79"/>
    </row>
    <row r="183" spans="1:13" s="9" customFormat="1">
      <c r="A183" s="81"/>
      <c r="B183" s="81"/>
      <c r="C183" s="81"/>
      <c r="D183" s="81"/>
      <c r="E183" s="81"/>
      <c r="F183" s="3">
        <v>2</v>
      </c>
      <c r="G183" s="4" t="s">
        <v>900</v>
      </c>
      <c r="H183" s="3"/>
      <c r="I183" s="4" t="s">
        <v>915</v>
      </c>
      <c r="J183" s="84"/>
      <c r="K183" s="81"/>
      <c r="L183" s="81"/>
      <c r="M183" s="81"/>
    </row>
    <row r="184" spans="1:13" s="9" customFormat="1">
      <c r="A184" s="79">
        <v>71</v>
      </c>
      <c r="B184" s="79" t="s">
        <v>916</v>
      </c>
      <c r="C184" s="79" t="s">
        <v>917</v>
      </c>
      <c r="D184" s="79" t="s">
        <v>918</v>
      </c>
      <c r="E184" s="79" t="s">
        <v>858</v>
      </c>
      <c r="F184" s="3">
        <v>1</v>
      </c>
      <c r="G184" s="4" t="s">
        <v>919</v>
      </c>
      <c r="H184" s="3"/>
      <c r="I184" s="4"/>
      <c r="J184" s="82"/>
      <c r="K184" s="79"/>
      <c r="L184" s="79"/>
      <c r="M184" s="79"/>
    </row>
    <row r="185" spans="1:13" s="9" customFormat="1">
      <c r="A185" s="80"/>
      <c r="B185" s="80"/>
      <c r="C185" s="80"/>
      <c r="D185" s="80"/>
      <c r="E185" s="80"/>
      <c r="F185" s="3">
        <v>2</v>
      </c>
      <c r="G185" s="4" t="s">
        <v>920</v>
      </c>
      <c r="H185" s="7" t="s">
        <v>921</v>
      </c>
      <c r="I185" s="4"/>
      <c r="J185" s="83"/>
      <c r="K185" s="80"/>
      <c r="L185" s="80"/>
      <c r="M185" s="80"/>
    </row>
    <row r="186" spans="1:13" s="9" customFormat="1">
      <c r="A186" s="81"/>
      <c r="B186" s="81"/>
      <c r="C186" s="81"/>
      <c r="D186" s="81"/>
      <c r="E186" s="81"/>
      <c r="F186" s="3">
        <v>3</v>
      </c>
      <c r="G186" s="4" t="s">
        <v>900</v>
      </c>
      <c r="H186" s="3"/>
      <c r="I186" s="4" t="s">
        <v>922</v>
      </c>
      <c r="J186" s="84"/>
      <c r="K186" s="81"/>
      <c r="L186" s="81"/>
      <c r="M186" s="81"/>
    </row>
    <row r="187" spans="1:13" s="9" customFormat="1">
      <c r="A187" s="79">
        <v>72</v>
      </c>
      <c r="B187" s="79" t="s">
        <v>923</v>
      </c>
      <c r="C187" s="79" t="s">
        <v>924</v>
      </c>
      <c r="D187" s="79" t="s">
        <v>925</v>
      </c>
      <c r="E187" s="79" t="s">
        <v>858</v>
      </c>
      <c r="F187" s="3">
        <v>1</v>
      </c>
      <c r="G187" s="4" t="s">
        <v>926</v>
      </c>
      <c r="H187" s="7" t="s">
        <v>927</v>
      </c>
      <c r="I187" s="4"/>
      <c r="J187" s="82"/>
      <c r="K187" s="79"/>
      <c r="L187" s="79"/>
      <c r="M187" s="79"/>
    </row>
    <row r="188" spans="1:13" s="9" customFormat="1">
      <c r="A188" s="81"/>
      <c r="B188" s="81"/>
      <c r="C188" s="81"/>
      <c r="D188" s="81"/>
      <c r="E188" s="81"/>
      <c r="F188" s="3">
        <v>2</v>
      </c>
      <c r="G188" s="4" t="s">
        <v>900</v>
      </c>
      <c r="H188" s="3"/>
      <c r="I188" s="4" t="s">
        <v>928</v>
      </c>
      <c r="J188" s="84"/>
      <c r="K188" s="81"/>
      <c r="L188" s="81"/>
      <c r="M188" s="81"/>
    </row>
    <row r="189" spans="1:13" s="9" customFormat="1">
      <c r="A189" s="79">
        <v>73</v>
      </c>
      <c r="B189" s="79" t="s">
        <v>929</v>
      </c>
      <c r="C189" s="79" t="s">
        <v>930</v>
      </c>
      <c r="D189" s="79" t="s">
        <v>931</v>
      </c>
      <c r="E189" s="79" t="s">
        <v>858</v>
      </c>
      <c r="F189" s="3">
        <v>1</v>
      </c>
      <c r="G189" s="4" t="s">
        <v>932</v>
      </c>
      <c r="H189" s="3" t="s">
        <v>414</v>
      </c>
      <c r="I189" s="4"/>
      <c r="J189" s="82"/>
      <c r="K189" s="79"/>
      <c r="L189" s="79"/>
      <c r="M189" s="79"/>
    </row>
    <row r="190" spans="1:13" s="9" customFormat="1">
      <c r="A190" s="81"/>
      <c r="B190" s="81"/>
      <c r="C190" s="81"/>
      <c r="D190" s="81"/>
      <c r="E190" s="81"/>
      <c r="F190" s="3">
        <v>2</v>
      </c>
      <c r="G190" s="4" t="s">
        <v>900</v>
      </c>
      <c r="H190" s="3"/>
      <c r="I190" s="4" t="s">
        <v>933</v>
      </c>
      <c r="J190" s="84"/>
      <c r="K190" s="81"/>
      <c r="L190" s="81"/>
      <c r="M190" s="81"/>
    </row>
    <row r="191" spans="1:13" s="9" customFormat="1">
      <c r="A191" s="79">
        <v>74</v>
      </c>
      <c r="B191" s="79" t="s">
        <v>934</v>
      </c>
      <c r="C191" s="79" t="s">
        <v>935</v>
      </c>
      <c r="D191" s="79" t="s">
        <v>936</v>
      </c>
      <c r="E191" s="79" t="s">
        <v>858</v>
      </c>
      <c r="F191" s="3">
        <v>1</v>
      </c>
      <c r="G191" s="4" t="s">
        <v>937</v>
      </c>
      <c r="H191" s="7" t="s">
        <v>938</v>
      </c>
      <c r="I191" s="4"/>
      <c r="J191" s="82"/>
      <c r="K191" s="79"/>
      <c r="L191" s="79"/>
      <c r="M191" s="79"/>
    </row>
    <row r="192" spans="1:13" s="9" customFormat="1">
      <c r="A192" s="81"/>
      <c r="B192" s="81"/>
      <c r="C192" s="81"/>
      <c r="D192" s="81"/>
      <c r="E192" s="81"/>
      <c r="F192" s="3">
        <v>2</v>
      </c>
      <c r="G192" s="4" t="s">
        <v>900</v>
      </c>
      <c r="H192" s="3"/>
      <c r="I192" s="4" t="s">
        <v>922</v>
      </c>
      <c r="J192" s="84"/>
      <c r="K192" s="81"/>
      <c r="L192" s="81"/>
      <c r="M192" s="81"/>
    </row>
    <row r="193" spans="1:13" s="9" customFormat="1">
      <c r="A193" s="79">
        <v>75</v>
      </c>
      <c r="B193" s="79" t="s">
        <v>939</v>
      </c>
      <c r="C193" s="79" t="s">
        <v>940</v>
      </c>
      <c r="D193" s="79" t="s">
        <v>941</v>
      </c>
      <c r="E193" s="79" t="s">
        <v>858</v>
      </c>
      <c r="F193" s="3">
        <v>1</v>
      </c>
      <c r="G193" s="4" t="s">
        <v>942</v>
      </c>
      <c r="H193" s="3" t="s">
        <v>943</v>
      </c>
      <c r="I193" s="4"/>
      <c r="J193" s="82"/>
      <c r="K193" s="79"/>
      <c r="L193" s="79"/>
      <c r="M193" s="79"/>
    </row>
    <row r="194" spans="1:13" s="9" customFormat="1">
      <c r="A194" s="81"/>
      <c r="B194" s="81"/>
      <c r="C194" s="81"/>
      <c r="D194" s="81"/>
      <c r="E194" s="81"/>
      <c r="F194" s="3">
        <v>2</v>
      </c>
      <c r="G194" s="4" t="s">
        <v>900</v>
      </c>
      <c r="H194" s="3"/>
      <c r="I194" s="4" t="s">
        <v>944</v>
      </c>
      <c r="J194" s="84"/>
      <c r="K194" s="81"/>
      <c r="L194" s="81"/>
      <c r="M194" s="81"/>
    </row>
    <row r="195" spans="1:13" s="9" customFormat="1">
      <c r="A195" s="79">
        <v>76</v>
      </c>
      <c r="B195" s="79" t="s">
        <v>945</v>
      </c>
      <c r="C195" s="79" t="s">
        <v>946</v>
      </c>
      <c r="D195" s="79" t="s">
        <v>947</v>
      </c>
      <c r="E195" s="79" t="s">
        <v>858</v>
      </c>
      <c r="F195" s="3">
        <v>1</v>
      </c>
      <c r="G195" s="4" t="s">
        <v>948</v>
      </c>
      <c r="H195" s="3" t="s">
        <v>414</v>
      </c>
      <c r="I195" s="4"/>
      <c r="J195" s="82"/>
      <c r="K195" s="79"/>
      <c r="L195" s="79"/>
      <c r="M195" s="79"/>
    </row>
    <row r="196" spans="1:13" s="9" customFormat="1">
      <c r="A196" s="81"/>
      <c r="B196" s="81"/>
      <c r="C196" s="81"/>
      <c r="D196" s="81"/>
      <c r="E196" s="81"/>
      <c r="F196" s="3">
        <v>2</v>
      </c>
      <c r="G196" s="4" t="s">
        <v>900</v>
      </c>
      <c r="H196" s="3"/>
      <c r="I196" s="4" t="s">
        <v>949</v>
      </c>
      <c r="J196" s="84"/>
      <c r="K196" s="81"/>
      <c r="L196" s="81"/>
      <c r="M196" s="81"/>
    </row>
    <row r="197" spans="1:13" s="9" customFormat="1" ht="28.5" customHeight="1">
      <c r="A197" s="79">
        <v>77</v>
      </c>
      <c r="B197" s="79" t="s">
        <v>950</v>
      </c>
      <c r="C197" s="79" t="s">
        <v>335</v>
      </c>
      <c r="D197" s="79" t="s">
        <v>951</v>
      </c>
      <c r="E197" s="79" t="s">
        <v>858</v>
      </c>
      <c r="F197" s="3">
        <v>1</v>
      </c>
      <c r="G197" s="4" t="s">
        <v>952</v>
      </c>
      <c r="H197" s="7" t="s">
        <v>953</v>
      </c>
      <c r="I197" s="4"/>
      <c r="J197" s="82"/>
      <c r="K197" s="79"/>
      <c r="L197" s="79"/>
      <c r="M197" s="79"/>
    </row>
    <row r="198" spans="1:13" s="9" customFormat="1">
      <c r="A198" s="81"/>
      <c r="B198" s="81"/>
      <c r="C198" s="81"/>
      <c r="D198" s="81"/>
      <c r="E198" s="81"/>
      <c r="F198" s="3">
        <v>2</v>
      </c>
      <c r="G198" s="4" t="s">
        <v>900</v>
      </c>
      <c r="H198" s="3"/>
      <c r="I198" s="4" t="s">
        <v>922</v>
      </c>
      <c r="J198" s="84"/>
      <c r="K198" s="81"/>
      <c r="L198" s="81"/>
      <c r="M198" s="81"/>
    </row>
    <row r="199" spans="1:13" s="9" customFormat="1" ht="28.5" customHeight="1">
      <c r="A199" s="3">
        <v>78</v>
      </c>
      <c r="B199" s="3" t="s">
        <v>954</v>
      </c>
      <c r="C199" s="3" t="s">
        <v>955</v>
      </c>
      <c r="D199" s="4" t="s">
        <v>956</v>
      </c>
      <c r="E199" s="3" t="s">
        <v>957</v>
      </c>
      <c r="F199" s="3">
        <v>1</v>
      </c>
      <c r="G199" s="4" t="s">
        <v>958</v>
      </c>
      <c r="H199" s="3"/>
      <c r="I199" s="4" t="s">
        <v>959</v>
      </c>
      <c r="J199" s="4"/>
      <c r="K199" s="3"/>
      <c r="L199" s="3"/>
      <c r="M199" s="3"/>
    </row>
    <row r="200" spans="1:13" s="9" customFormat="1">
      <c r="A200" s="3">
        <v>79</v>
      </c>
      <c r="B200" s="3" t="s">
        <v>960</v>
      </c>
      <c r="C200" s="3" t="s">
        <v>961</v>
      </c>
      <c r="D200" s="4" t="s">
        <v>962</v>
      </c>
      <c r="E200" s="3" t="s">
        <v>957</v>
      </c>
      <c r="F200" s="3">
        <v>1</v>
      </c>
      <c r="G200" s="4" t="s">
        <v>963</v>
      </c>
      <c r="H200" s="3"/>
      <c r="I200" s="4" t="s">
        <v>964</v>
      </c>
      <c r="J200" s="4"/>
      <c r="K200" s="3"/>
      <c r="L200" s="3"/>
      <c r="M200" s="3"/>
    </row>
    <row r="201" spans="1:13" s="9" customFormat="1">
      <c r="A201" s="3">
        <v>80</v>
      </c>
      <c r="B201" s="3" t="s">
        <v>965</v>
      </c>
      <c r="C201" s="3" t="s">
        <v>966</v>
      </c>
      <c r="D201" s="4" t="s">
        <v>967</v>
      </c>
      <c r="E201" s="3" t="s">
        <v>957</v>
      </c>
      <c r="F201" s="3">
        <v>1</v>
      </c>
      <c r="G201" s="4" t="s">
        <v>968</v>
      </c>
      <c r="H201" s="3"/>
      <c r="I201" s="4" t="s">
        <v>969</v>
      </c>
      <c r="J201" s="4"/>
      <c r="K201" s="3"/>
      <c r="L201" s="3"/>
      <c r="M201" s="3"/>
    </row>
    <row r="202" spans="1:13" s="9" customFormat="1">
      <c r="A202" s="79">
        <v>81</v>
      </c>
      <c r="B202" s="79" t="s">
        <v>970</v>
      </c>
      <c r="C202" s="79" t="s">
        <v>971</v>
      </c>
      <c r="D202" s="79" t="s">
        <v>972</v>
      </c>
      <c r="E202" s="79" t="s">
        <v>957</v>
      </c>
      <c r="F202" s="3">
        <v>1</v>
      </c>
      <c r="G202" s="4" t="s">
        <v>973</v>
      </c>
      <c r="H202" s="3"/>
      <c r="I202" s="4"/>
      <c r="J202" s="82"/>
      <c r="K202" s="79"/>
      <c r="L202" s="79"/>
      <c r="M202" s="79"/>
    </row>
    <row r="203" spans="1:13" s="9" customFormat="1">
      <c r="A203" s="81"/>
      <c r="B203" s="81"/>
      <c r="C203" s="81"/>
      <c r="D203" s="81"/>
      <c r="E203" s="81"/>
      <c r="F203" s="3">
        <v>2</v>
      </c>
      <c r="G203" s="4" t="s">
        <v>974</v>
      </c>
      <c r="H203" s="3"/>
      <c r="I203" s="4" t="s">
        <v>975</v>
      </c>
      <c r="J203" s="84"/>
      <c r="K203" s="81"/>
      <c r="L203" s="81"/>
      <c r="M203" s="81"/>
    </row>
    <row r="204" spans="1:13" s="9" customFormat="1">
      <c r="A204" s="79">
        <v>82</v>
      </c>
      <c r="B204" s="79" t="s">
        <v>976</v>
      </c>
      <c r="C204" s="79" t="s">
        <v>977</v>
      </c>
      <c r="D204" s="79" t="s">
        <v>978</v>
      </c>
      <c r="E204" s="79" t="s">
        <v>979</v>
      </c>
      <c r="F204" s="3">
        <v>1</v>
      </c>
      <c r="G204" s="4" t="s">
        <v>980</v>
      </c>
      <c r="H204" s="3">
        <v>500</v>
      </c>
      <c r="I204" s="4"/>
      <c r="J204" s="82" t="s">
        <v>981</v>
      </c>
      <c r="K204" s="85" t="s">
        <v>398</v>
      </c>
      <c r="L204" s="79" t="s">
        <v>861</v>
      </c>
      <c r="M204" s="86" t="s">
        <v>445</v>
      </c>
    </row>
    <row r="205" spans="1:13" s="9" customFormat="1">
      <c r="A205" s="81"/>
      <c r="B205" s="81"/>
      <c r="C205" s="81"/>
      <c r="D205" s="81"/>
      <c r="E205" s="81"/>
      <c r="F205" s="3">
        <v>2</v>
      </c>
      <c r="G205" s="4" t="s">
        <v>900</v>
      </c>
      <c r="H205" s="3"/>
      <c r="I205" s="4" t="s">
        <v>982</v>
      </c>
      <c r="J205" s="84"/>
      <c r="K205" s="81"/>
      <c r="L205" s="81"/>
      <c r="M205" s="81"/>
    </row>
    <row r="206" spans="1:13" s="9" customFormat="1">
      <c r="A206" s="79">
        <v>83</v>
      </c>
      <c r="B206" s="79" t="s">
        <v>983</v>
      </c>
      <c r="C206" s="79" t="s">
        <v>984</v>
      </c>
      <c r="D206" s="79" t="s">
        <v>985</v>
      </c>
      <c r="E206" s="79" t="s">
        <v>979</v>
      </c>
      <c r="F206" s="3">
        <v>1</v>
      </c>
      <c r="G206" s="4" t="s">
        <v>986</v>
      </c>
      <c r="H206" s="3">
        <v>515.5</v>
      </c>
      <c r="I206" s="4"/>
      <c r="J206" s="82"/>
      <c r="K206" s="79"/>
      <c r="L206" s="79"/>
      <c r="M206" s="79" t="s">
        <v>987</v>
      </c>
    </row>
    <row r="207" spans="1:13" s="9" customFormat="1">
      <c r="A207" s="81"/>
      <c r="B207" s="81"/>
      <c r="C207" s="81"/>
      <c r="D207" s="81"/>
      <c r="E207" s="81"/>
      <c r="F207" s="3">
        <v>2</v>
      </c>
      <c r="G207" s="4" t="s">
        <v>900</v>
      </c>
      <c r="H207" s="3"/>
      <c r="I207" s="4" t="s">
        <v>988</v>
      </c>
      <c r="J207" s="84"/>
      <c r="K207" s="81"/>
      <c r="L207" s="81"/>
      <c r="M207" s="81"/>
    </row>
    <row r="208" spans="1:13" s="9" customFormat="1">
      <c r="A208" s="79">
        <v>84</v>
      </c>
      <c r="B208" s="79" t="s">
        <v>989</v>
      </c>
      <c r="C208" s="79" t="s">
        <v>990</v>
      </c>
      <c r="D208" s="79" t="s">
        <v>991</v>
      </c>
      <c r="E208" s="79" t="s">
        <v>979</v>
      </c>
      <c r="F208" s="3">
        <v>1</v>
      </c>
      <c r="G208" s="4" t="s">
        <v>992</v>
      </c>
      <c r="H208" s="3">
        <v>0</v>
      </c>
      <c r="I208" s="4"/>
      <c r="J208" s="82" t="s">
        <v>993</v>
      </c>
      <c r="K208" s="85" t="s">
        <v>398</v>
      </c>
      <c r="L208" s="79" t="s">
        <v>861</v>
      </c>
      <c r="M208" s="79" t="s">
        <v>994</v>
      </c>
    </row>
    <row r="209" spans="1:13" s="9" customFormat="1">
      <c r="A209" s="81"/>
      <c r="B209" s="81"/>
      <c r="C209" s="81"/>
      <c r="D209" s="81"/>
      <c r="E209" s="81"/>
      <c r="F209" s="3">
        <v>2</v>
      </c>
      <c r="G209" s="4" t="s">
        <v>900</v>
      </c>
      <c r="H209" s="3"/>
      <c r="I209" s="4" t="s">
        <v>995</v>
      </c>
      <c r="J209" s="84"/>
      <c r="K209" s="81"/>
      <c r="L209" s="81"/>
      <c r="M209" s="81"/>
    </row>
    <row r="210" spans="1:13" s="9" customFormat="1">
      <c r="A210" s="79">
        <v>85</v>
      </c>
      <c r="B210" s="79" t="s">
        <v>996</v>
      </c>
      <c r="C210" s="79" t="s">
        <v>997</v>
      </c>
      <c r="D210" s="79" t="s">
        <v>998</v>
      </c>
      <c r="E210" s="79" t="s">
        <v>979</v>
      </c>
      <c r="F210" s="3">
        <v>1</v>
      </c>
      <c r="G210" s="4" t="s">
        <v>999</v>
      </c>
      <c r="H210" s="3">
        <v>-100</v>
      </c>
      <c r="I210" s="4"/>
      <c r="J210" s="82" t="s">
        <v>1000</v>
      </c>
      <c r="K210" s="85" t="s">
        <v>398</v>
      </c>
      <c r="L210" s="79" t="s">
        <v>861</v>
      </c>
      <c r="M210" s="79"/>
    </row>
    <row r="211" spans="1:13" s="9" customFormat="1">
      <c r="A211" s="81"/>
      <c r="B211" s="81"/>
      <c r="C211" s="81"/>
      <c r="D211" s="81"/>
      <c r="E211" s="81"/>
      <c r="F211" s="3">
        <v>2</v>
      </c>
      <c r="G211" s="4" t="s">
        <v>900</v>
      </c>
      <c r="H211" s="3"/>
      <c r="I211" s="4" t="s">
        <v>1001</v>
      </c>
      <c r="J211" s="84"/>
      <c r="K211" s="81"/>
      <c r="L211" s="81"/>
      <c r="M211" s="81"/>
    </row>
    <row r="212" spans="1:13" s="9" customFormat="1">
      <c r="A212" s="79">
        <v>86</v>
      </c>
      <c r="B212" s="79" t="s">
        <v>1002</v>
      </c>
      <c r="C212" s="79" t="s">
        <v>1003</v>
      </c>
      <c r="D212" s="79" t="s">
        <v>1004</v>
      </c>
      <c r="E212" s="79" t="s">
        <v>979</v>
      </c>
      <c r="F212" s="3">
        <v>1</v>
      </c>
      <c r="G212" s="4" t="s">
        <v>1005</v>
      </c>
      <c r="H212" s="3" t="s">
        <v>640</v>
      </c>
      <c r="I212" s="4"/>
      <c r="J212" s="82"/>
      <c r="K212" s="79"/>
      <c r="L212" s="79"/>
      <c r="M212" s="79"/>
    </row>
    <row r="213" spans="1:13" s="9" customFormat="1">
      <c r="A213" s="81"/>
      <c r="B213" s="81"/>
      <c r="C213" s="81"/>
      <c r="D213" s="81"/>
      <c r="E213" s="81"/>
      <c r="F213" s="3">
        <v>2</v>
      </c>
      <c r="G213" s="4" t="s">
        <v>900</v>
      </c>
      <c r="H213" s="3"/>
      <c r="I213" s="4" t="s">
        <v>1006</v>
      </c>
      <c r="J213" s="84"/>
      <c r="K213" s="81"/>
      <c r="L213" s="81"/>
      <c r="M213" s="81"/>
    </row>
    <row r="214" spans="1:13" s="9" customFormat="1">
      <c r="A214" s="79">
        <v>87</v>
      </c>
      <c r="B214" s="79" t="s">
        <v>1007</v>
      </c>
      <c r="C214" s="79" t="s">
        <v>1008</v>
      </c>
      <c r="D214" s="79" t="s">
        <v>1009</v>
      </c>
      <c r="E214" s="79" t="s">
        <v>979</v>
      </c>
      <c r="F214" s="3">
        <v>1</v>
      </c>
      <c r="G214" s="4" t="s">
        <v>1010</v>
      </c>
      <c r="H214" s="3">
        <v>100</v>
      </c>
      <c r="I214" s="4"/>
      <c r="J214" s="82"/>
      <c r="K214" s="79"/>
      <c r="L214" s="79"/>
      <c r="M214" s="79"/>
    </row>
    <row r="215" spans="1:13" s="9" customFormat="1">
      <c r="A215" s="81"/>
      <c r="B215" s="81"/>
      <c r="C215" s="81"/>
      <c r="D215" s="81"/>
      <c r="E215" s="81"/>
      <c r="F215" s="3">
        <v>2</v>
      </c>
      <c r="G215" s="4" t="s">
        <v>900</v>
      </c>
      <c r="H215" s="3"/>
      <c r="I215" s="4" t="s">
        <v>1011</v>
      </c>
      <c r="J215" s="84"/>
      <c r="K215" s="81"/>
      <c r="L215" s="81"/>
      <c r="M215" s="81"/>
    </row>
    <row r="216" spans="1:13" s="9" customFormat="1">
      <c r="A216" s="79">
        <v>88</v>
      </c>
      <c r="B216" s="79" t="s">
        <v>1012</v>
      </c>
      <c r="C216" s="79" t="s">
        <v>1013</v>
      </c>
      <c r="D216" s="79" t="s">
        <v>1014</v>
      </c>
      <c r="E216" s="79" t="s">
        <v>979</v>
      </c>
      <c r="F216" s="3">
        <v>1</v>
      </c>
      <c r="G216" s="4" t="s">
        <v>1015</v>
      </c>
      <c r="H216" s="3">
        <v>500</v>
      </c>
      <c r="I216" s="4"/>
      <c r="J216" s="82"/>
      <c r="K216" s="79"/>
      <c r="L216" s="79"/>
      <c r="M216" s="79" t="s">
        <v>1016</v>
      </c>
    </row>
    <row r="217" spans="1:13" s="9" customFormat="1">
      <c r="A217" s="80"/>
      <c r="B217" s="80"/>
      <c r="C217" s="80"/>
      <c r="D217" s="80"/>
      <c r="E217" s="80"/>
      <c r="F217" s="3">
        <v>2</v>
      </c>
      <c r="G217" s="4" t="s">
        <v>1017</v>
      </c>
      <c r="H217" s="3">
        <v>100</v>
      </c>
      <c r="I217" s="4"/>
      <c r="J217" s="83"/>
      <c r="K217" s="80"/>
      <c r="L217" s="80"/>
      <c r="M217" s="80"/>
    </row>
    <row r="218" spans="1:13" s="9" customFormat="1">
      <c r="A218" s="81"/>
      <c r="B218" s="81"/>
      <c r="C218" s="81"/>
      <c r="D218" s="81"/>
      <c r="E218" s="81"/>
      <c r="F218" s="3">
        <v>3</v>
      </c>
      <c r="G218" s="4" t="s">
        <v>900</v>
      </c>
      <c r="H218" s="3"/>
      <c r="I218" s="4" t="s">
        <v>1018</v>
      </c>
      <c r="J218" s="84"/>
      <c r="K218" s="81"/>
      <c r="L218" s="81"/>
      <c r="M218" s="81"/>
    </row>
    <row r="219" spans="1:13" s="9" customFormat="1">
      <c r="A219" s="79">
        <v>89</v>
      </c>
      <c r="B219" s="79" t="s">
        <v>1019</v>
      </c>
      <c r="C219" s="79" t="s">
        <v>1020</v>
      </c>
      <c r="D219" s="79" t="s">
        <v>1021</v>
      </c>
      <c r="E219" s="79" t="s">
        <v>979</v>
      </c>
      <c r="F219" s="3">
        <v>1</v>
      </c>
      <c r="G219" s="4" t="s">
        <v>1022</v>
      </c>
      <c r="H219" s="3">
        <v>-50</v>
      </c>
      <c r="I219" s="4"/>
      <c r="J219" s="82"/>
      <c r="K219" s="79"/>
      <c r="L219" s="79"/>
      <c r="M219" s="79"/>
    </row>
    <row r="220" spans="1:13" s="9" customFormat="1">
      <c r="A220" s="81"/>
      <c r="B220" s="81"/>
      <c r="C220" s="81"/>
      <c r="D220" s="81"/>
      <c r="E220" s="81"/>
      <c r="F220" s="3">
        <v>2</v>
      </c>
      <c r="G220" s="4" t="s">
        <v>900</v>
      </c>
      <c r="H220" s="3"/>
      <c r="I220" s="4" t="s">
        <v>1023</v>
      </c>
      <c r="J220" s="84"/>
      <c r="K220" s="81"/>
      <c r="L220" s="81"/>
      <c r="M220" s="81"/>
    </row>
    <row r="221" spans="1:13" s="9" customFormat="1">
      <c r="A221" s="79">
        <v>90</v>
      </c>
      <c r="B221" s="79" t="s">
        <v>1024</v>
      </c>
      <c r="C221" s="79" t="s">
        <v>1025</v>
      </c>
      <c r="D221" s="79" t="s">
        <v>1026</v>
      </c>
      <c r="E221" s="79" t="s">
        <v>979</v>
      </c>
      <c r="F221" s="3">
        <v>1</v>
      </c>
      <c r="G221" s="4" t="s">
        <v>1027</v>
      </c>
      <c r="H221" s="3" t="s">
        <v>1028</v>
      </c>
      <c r="I221" s="4"/>
      <c r="J221" s="82"/>
      <c r="K221" s="79"/>
      <c r="L221" s="79"/>
      <c r="M221" s="79"/>
    </row>
    <row r="222" spans="1:13" s="9" customFormat="1">
      <c r="A222" s="81"/>
      <c r="B222" s="81"/>
      <c r="C222" s="81"/>
      <c r="D222" s="81"/>
      <c r="E222" s="81"/>
      <c r="F222" s="3">
        <v>2</v>
      </c>
      <c r="G222" s="4" t="s">
        <v>900</v>
      </c>
      <c r="H222" s="3"/>
      <c r="I222" s="4" t="s">
        <v>1029</v>
      </c>
      <c r="J222" s="84"/>
      <c r="K222" s="81"/>
      <c r="L222" s="81"/>
      <c r="M222" s="81"/>
    </row>
    <row r="223" spans="1:13" s="9" customFormat="1">
      <c r="A223" s="79">
        <v>91</v>
      </c>
      <c r="B223" s="79" t="s">
        <v>1030</v>
      </c>
      <c r="C223" s="79" t="s">
        <v>1031</v>
      </c>
      <c r="D223" s="79" t="s">
        <v>1032</v>
      </c>
      <c r="E223" s="79" t="s">
        <v>979</v>
      </c>
      <c r="F223" s="3">
        <v>1</v>
      </c>
      <c r="G223" s="4" t="s">
        <v>1033</v>
      </c>
      <c r="H223" s="3" t="s">
        <v>1034</v>
      </c>
      <c r="I223" s="4"/>
      <c r="J223" s="82"/>
      <c r="K223" s="79"/>
      <c r="L223" s="79"/>
      <c r="M223" s="79"/>
    </row>
    <row r="224" spans="1:13" s="9" customFormat="1">
      <c r="A224" s="81"/>
      <c r="B224" s="81"/>
      <c r="C224" s="81"/>
      <c r="D224" s="81"/>
      <c r="E224" s="81"/>
      <c r="F224" s="3">
        <v>2</v>
      </c>
      <c r="G224" s="4" t="s">
        <v>900</v>
      </c>
      <c r="H224" s="3"/>
      <c r="I224" s="4" t="s">
        <v>1035</v>
      </c>
      <c r="J224" s="84"/>
      <c r="K224" s="81"/>
      <c r="L224" s="81"/>
      <c r="M224" s="81"/>
    </row>
    <row r="225" spans="1:13" s="9" customFormat="1">
      <c r="A225" s="79">
        <v>92</v>
      </c>
      <c r="B225" s="79" t="s">
        <v>1036</v>
      </c>
      <c r="C225" s="79" t="s">
        <v>1037</v>
      </c>
      <c r="D225" s="79" t="s">
        <v>1038</v>
      </c>
      <c r="E225" s="79" t="s">
        <v>979</v>
      </c>
      <c r="F225" s="3">
        <v>1</v>
      </c>
      <c r="G225" s="4" t="s">
        <v>1039</v>
      </c>
      <c r="H225" s="3" t="s">
        <v>1040</v>
      </c>
      <c r="I225" s="4"/>
      <c r="J225" s="82"/>
      <c r="K225" s="79"/>
      <c r="L225" s="79"/>
      <c r="M225" s="79"/>
    </row>
    <row r="226" spans="1:13" s="9" customFormat="1">
      <c r="A226" s="81"/>
      <c r="B226" s="81"/>
      <c r="C226" s="81"/>
      <c r="D226" s="81"/>
      <c r="E226" s="81"/>
      <c r="F226" s="3">
        <v>2</v>
      </c>
      <c r="G226" s="4" t="s">
        <v>900</v>
      </c>
      <c r="H226" s="3"/>
      <c r="I226" s="4" t="s">
        <v>1041</v>
      </c>
      <c r="J226" s="84"/>
      <c r="K226" s="81"/>
      <c r="L226" s="81"/>
      <c r="M226" s="81"/>
    </row>
    <row r="227" spans="1:13" s="9" customFormat="1" ht="28.5" customHeight="1">
      <c r="A227" s="79">
        <v>93</v>
      </c>
      <c r="B227" s="79" t="s">
        <v>1042</v>
      </c>
      <c r="C227" s="79" t="s">
        <v>1043</v>
      </c>
      <c r="D227" s="79" t="s">
        <v>1044</v>
      </c>
      <c r="E227" s="79" t="s">
        <v>979</v>
      </c>
      <c r="F227" s="3">
        <v>1</v>
      </c>
      <c r="G227" s="4" t="s">
        <v>1045</v>
      </c>
      <c r="H227" s="3" t="s">
        <v>1046</v>
      </c>
      <c r="I227" s="4"/>
      <c r="J227" s="82"/>
      <c r="K227" s="79"/>
      <c r="L227" s="79"/>
      <c r="M227" s="79"/>
    </row>
    <row r="228" spans="1:13" s="9" customFormat="1">
      <c r="A228" s="81"/>
      <c r="B228" s="81"/>
      <c r="C228" s="81"/>
      <c r="D228" s="81"/>
      <c r="E228" s="81"/>
      <c r="F228" s="3">
        <v>2</v>
      </c>
      <c r="G228" s="4" t="s">
        <v>900</v>
      </c>
      <c r="H228" s="3"/>
      <c r="I228" s="4" t="s">
        <v>1047</v>
      </c>
      <c r="J228" s="84"/>
      <c r="K228" s="81"/>
      <c r="L228" s="81"/>
      <c r="M228" s="81"/>
    </row>
    <row r="229" spans="1:13" s="9" customFormat="1">
      <c r="A229" s="79">
        <v>94</v>
      </c>
      <c r="B229" s="79" t="s">
        <v>1048</v>
      </c>
      <c r="C229" s="79" t="s">
        <v>1049</v>
      </c>
      <c r="D229" s="79" t="s">
        <v>1050</v>
      </c>
      <c r="E229" s="79" t="s">
        <v>979</v>
      </c>
      <c r="F229" s="3">
        <v>1</v>
      </c>
      <c r="G229" s="4" t="s">
        <v>1051</v>
      </c>
      <c r="H229" s="3" t="s">
        <v>1052</v>
      </c>
      <c r="I229" s="4"/>
      <c r="J229" s="82"/>
      <c r="K229" s="79"/>
      <c r="L229" s="79"/>
      <c r="M229" s="79"/>
    </row>
    <row r="230" spans="1:13" s="9" customFormat="1">
      <c r="A230" s="81"/>
      <c r="B230" s="81"/>
      <c r="C230" s="81"/>
      <c r="D230" s="81"/>
      <c r="E230" s="81"/>
      <c r="F230" s="3">
        <v>2</v>
      </c>
      <c r="G230" s="4" t="s">
        <v>900</v>
      </c>
      <c r="H230" s="3"/>
      <c r="I230" s="4" t="s">
        <v>1053</v>
      </c>
      <c r="J230" s="84"/>
      <c r="K230" s="81"/>
      <c r="L230" s="81"/>
      <c r="M230" s="81"/>
    </row>
    <row r="231" spans="1:13" s="9" customFormat="1">
      <c r="A231" s="79">
        <v>95</v>
      </c>
      <c r="B231" s="79" t="s">
        <v>1054</v>
      </c>
      <c r="C231" s="79" t="s">
        <v>1055</v>
      </c>
      <c r="D231" s="79" t="s">
        <v>1056</v>
      </c>
      <c r="E231" s="79" t="s">
        <v>979</v>
      </c>
      <c r="F231" s="3">
        <v>1</v>
      </c>
      <c r="G231" s="4" t="s">
        <v>1057</v>
      </c>
      <c r="H231" s="3" t="s">
        <v>1058</v>
      </c>
      <c r="I231" s="4"/>
      <c r="J231" s="82"/>
      <c r="K231" s="79"/>
      <c r="L231" s="79"/>
      <c r="M231" s="79"/>
    </row>
    <row r="232" spans="1:13" s="9" customFormat="1">
      <c r="A232" s="81"/>
      <c r="B232" s="81"/>
      <c r="C232" s="81"/>
      <c r="D232" s="81"/>
      <c r="E232" s="81"/>
      <c r="F232" s="3">
        <v>2</v>
      </c>
      <c r="G232" s="4" t="s">
        <v>900</v>
      </c>
      <c r="H232" s="3"/>
      <c r="I232" s="4" t="s">
        <v>1059</v>
      </c>
      <c r="J232" s="84"/>
      <c r="K232" s="81"/>
      <c r="L232" s="81"/>
      <c r="M232" s="81"/>
    </row>
    <row r="233" spans="1:13" s="9" customFormat="1">
      <c r="A233" s="79">
        <v>96</v>
      </c>
      <c r="B233" s="79" t="s">
        <v>1060</v>
      </c>
      <c r="C233" s="79" t="s">
        <v>1061</v>
      </c>
      <c r="D233" s="79" t="s">
        <v>1062</v>
      </c>
      <c r="E233" s="79" t="s">
        <v>979</v>
      </c>
      <c r="F233" s="3">
        <v>1</v>
      </c>
      <c r="G233" s="4" t="s">
        <v>1063</v>
      </c>
      <c r="H233" s="3">
        <v>0</v>
      </c>
      <c r="I233" s="4"/>
      <c r="J233" s="82" t="s">
        <v>1064</v>
      </c>
      <c r="K233" s="85" t="s">
        <v>398</v>
      </c>
      <c r="L233" s="79" t="s">
        <v>861</v>
      </c>
      <c r="M233" s="79" t="s">
        <v>1065</v>
      </c>
    </row>
    <row r="234" spans="1:13" s="9" customFormat="1">
      <c r="A234" s="81"/>
      <c r="B234" s="81"/>
      <c r="C234" s="81"/>
      <c r="D234" s="81"/>
      <c r="E234" s="81"/>
      <c r="F234" s="3">
        <v>2</v>
      </c>
      <c r="G234" s="4" t="s">
        <v>900</v>
      </c>
      <c r="H234" s="3"/>
      <c r="I234" s="4" t="s">
        <v>1066</v>
      </c>
      <c r="J234" s="84"/>
      <c r="K234" s="81"/>
      <c r="L234" s="81"/>
      <c r="M234" s="81"/>
    </row>
    <row r="235" spans="1:13" s="9" customFormat="1">
      <c r="A235" s="79">
        <v>97</v>
      </c>
      <c r="B235" s="79" t="s">
        <v>1067</v>
      </c>
      <c r="C235" s="79" t="s">
        <v>1068</v>
      </c>
      <c r="D235" s="79" t="s">
        <v>1069</v>
      </c>
      <c r="E235" s="79" t="s">
        <v>979</v>
      </c>
      <c r="F235" s="3">
        <v>1</v>
      </c>
      <c r="G235" s="4" t="s">
        <v>1070</v>
      </c>
      <c r="H235" s="3">
        <v>100</v>
      </c>
      <c r="I235" s="4"/>
      <c r="J235" s="82" t="s">
        <v>1071</v>
      </c>
      <c r="K235" s="85" t="s">
        <v>398</v>
      </c>
      <c r="L235" s="79" t="s">
        <v>861</v>
      </c>
      <c r="M235" s="79" t="s">
        <v>1072</v>
      </c>
    </row>
    <row r="236" spans="1:13" s="9" customFormat="1">
      <c r="A236" s="81"/>
      <c r="B236" s="81"/>
      <c r="C236" s="81"/>
      <c r="D236" s="81"/>
      <c r="E236" s="81"/>
      <c r="F236" s="3">
        <v>2</v>
      </c>
      <c r="G236" s="4" t="s">
        <v>900</v>
      </c>
      <c r="H236" s="3"/>
      <c r="I236" s="4" t="s">
        <v>1073</v>
      </c>
      <c r="J236" s="84"/>
      <c r="K236" s="81"/>
      <c r="L236" s="81"/>
      <c r="M236" s="81"/>
    </row>
    <row r="237" spans="1:13" s="9" customFormat="1">
      <c r="A237" s="79">
        <v>98</v>
      </c>
      <c r="B237" s="79" t="s">
        <v>1074</v>
      </c>
      <c r="C237" s="79" t="s">
        <v>1075</v>
      </c>
      <c r="D237" s="79" t="s">
        <v>1076</v>
      </c>
      <c r="E237" s="79" t="s">
        <v>979</v>
      </c>
      <c r="F237" s="3">
        <v>1</v>
      </c>
      <c r="G237" s="4" t="s">
        <v>1077</v>
      </c>
      <c r="H237" s="3">
        <v>50</v>
      </c>
      <c r="I237" s="4"/>
      <c r="J237" s="82"/>
      <c r="K237" s="79"/>
      <c r="L237" s="79"/>
      <c r="M237" s="79"/>
    </row>
    <row r="238" spans="1:13" s="9" customFormat="1">
      <c r="A238" s="81"/>
      <c r="B238" s="81"/>
      <c r="C238" s="81"/>
      <c r="D238" s="81"/>
      <c r="E238" s="81"/>
      <c r="F238" s="3">
        <v>2</v>
      </c>
      <c r="G238" s="4" t="s">
        <v>900</v>
      </c>
      <c r="H238" s="3"/>
      <c r="I238" s="4" t="s">
        <v>1078</v>
      </c>
      <c r="J238" s="84"/>
      <c r="K238" s="81"/>
      <c r="L238" s="81"/>
      <c r="M238" s="81"/>
    </row>
    <row r="239" spans="1:13" s="9" customFormat="1">
      <c r="A239" s="79">
        <v>99</v>
      </c>
      <c r="B239" s="79" t="s">
        <v>1079</v>
      </c>
      <c r="C239" s="79" t="s">
        <v>1080</v>
      </c>
      <c r="D239" s="79" t="s">
        <v>1081</v>
      </c>
      <c r="E239" s="79" t="s">
        <v>979</v>
      </c>
      <c r="F239" s="3">
        <v>1</v>
      </c>
      <c r="G239" s="4" t="s">
        <v>1082</v>
      </c>
      <c r="H239" s="3">
        <v>101</v>
      </c>
      <c r="I239" s="4"/>
      <c r="J239" s="82"/>
      <c r="K239" s="79"/>
      <c r="L239" s="79"/>
      <c r="M239" s="79"/>
    </row>
    <row r="240" spans="1:13" s="9" customFormat="1">
      <c r="A240" s="81"/>
      <c r="B240" s="81"/>
      <c r="C240" s="81"/>
      <c r="D240" s="81"/>
      <c r="E240" s="81"/>
      <c r="F240" s="3">
        <v>2</v>
      </c>
      <c r="G240" s="4" t="s">
        <v>900</v>
      </c>
      <c r="H240" s="3"/>
      <c r="I240" s="4" t="s">
        <v>1083</v>
      </c>
      <c r="J240" s="84"/>
      <c r="K240" s="81"/>
      <c r="L240" s="81"/>
      <c r="M240" s="81"/>
    </row>
    <row r="241" spans="1:13" s="9" customFormat="1">
      <c r="A241" s="79">
        <v>100</v>
      </c>
      <c r="B241" s="79" t="s">
        <v>1084</v>
      </c>
      <c r="C241" s="79" t="s">
        <v>1085</v>
      </c>
      <c r="D241" s="79" t="s">
        <v>1086</v>
      </c>
      <c r="E241" s="79" t="s">
        <v>979</v>
      </c>
      <c r="F241" s="3">
        <v>1</v>
      </c>
      <c r="G241" s="4" t="s">
        <v>1087</v>
      </c>
      <c r="H241" s="3">
        <v>-10</v>
      </c>
      <c r="I241" s="4"/>
      <c r="J241" s="82"/>
      <c r="K241" s="79"/>
      <c r="L241" s="79"/>
      <c r="M241" s="79"/>
    </row>
    <row r="242" spans="1:13" s="9" customFormat="1">
      <c r="A242" s="81"/>
      <c r="B242" s="81"/>
      <c r="C242" s="81"/>
      <c r="D242" s="81"/>
      <c r="E242" s="81"/>
      <c r="F242" s="3">
        <v>2</v>
      </c>
      <c r="G242" s="4" t="s">
        <v>900</v>
      </c>
      <c r="H242" s="3"/>
      <c r="I242" s="4" t="s">
        <v>1088</v>
      </c>
      <c r="J242" s="84"/>
      <c r="K242" s="81"/>
      <c r="L242" s="81"/>
      <c r="M242" s="81"/>
    </row>
    <row r="243" spans="1:13" s="9" customFormat="1">
      <c r="A243" s="79">
        <v>101</v>
      </c>
      <c r="B243" s="79" t="s">
        <v>1089</v>
      </c>
      <c r="C243" s="79" t="s">
        <v>1090</v>
      </c>
      <c r="D243" s="79" t="s">
        <v>1091</v>
      </c>
      <c r="E243" s="79" t="s">
        <v>979</v>
      </c>
      <c r="F243" s="3">
        <v>1</v>
      </c>
      <c r="G243" s="4" t="s">
        <v>1092</v>
      </c>
      <c r="H243" s="3">
        <v>20.5</v>
      </c>
      <c r="I243" s="4"/>
      <c r="J243" s="82"/>
      <c r="K243" s="79"/>
      <c r="L243" s="79"/>
      <c r="M243" s="79"/>
    </row>
    <row r="244" spans="1:13" s="9" customFormat="1">
      <c r="A244" s="81"/>
      <c r="B244" s="81"/>
      <c r="C244" s="81"/>
      <c r="D244" s="81"/>
      <c r="E244" s="81"/>
      <c r="F244" s="3">
        <v>2</v>
      </c>
      <c r="G244" s="4" t="s">
        <v>900</v>
      </c>
      <c r="H244" s="3"/>
      <c r="I244" s="4" t="s">
        <v>1093</v>
      </c>
      <c r="J244" s="84"/>
      <c r="K244" s="81"/>
      <c r="L244" s="81"/>
      <c r="M244" s="81"/>
    </row>
    <row r="245" spans="1:13" s="9" customFormat="1">
      <c r="A245" s="79">
        <v>102</v>
      </c>
      <c r="B245" s="79" t="s">
        <v>1094</v>
      </c>
      <c r="C245" s="79" t="s">
        <v>1095</v>
      </c>
      <c r="D245" s="79" t="s">
        <v>1096</v>
      </c>
      <c r="E245" s="79" t="s">
        <v>979</v>
      </c>
      <c r="F245" s="3">
        <v>1</v>
      </c>
      <c r="G245" s="4" t="s">
        <v>643</v>
      </c>
      <c r="H245" s="3" t="s">
        <v>1097</v>
      </c>
      <c r="I245" s="4"/>
      <c r="J245" s="82"/>
      <c r="K245" s="79"/>
      <c r="L245" s="79"/>
      <c r="M245" s="79"/>
    </row>
    <row r="246" spans="1:13" s="9" customFormat="1">
      <c r="A246" s="81"/>
      <c r="B246" s="81"/>
      <c r="C246" s="81"/>
      <c r="D246" s="81"/>
      <c r="E246" s="81"/>
      <c r="F246" s="3">
        <v>2</v>
      </c>
      <c r="G246" s="4" t="s">
        <v>900</v>
      </c>
      <c r="H246" s="3"/>
      <c r="I246" s="4" t="s">
        <v>1098</v>
      </c>
      <c r="J246" s="84"/>
      <c r="K246" s="81"/>
      <c r="L246" s="81"/>
      <c r="M246" s="81"/>
    </row>
    <row r="247" spans="1:13" s="9" customFormat="1">
      <c r="A247" s="79">
        <v>103</v>
      </c>
      <c r="B247" s="79" t="s">
        <v>1099</v>
      </c>
      <c r="C247" s="79" t="s">
        <v>1100</v>
      </c>
      <c r="D247" s="79" t="s">
        <v>1101</v>
      </c>
      <c r="E247" s="79" t="s">
        <v>979</v>
      </c>
      <c r="F247" s="3">
        <v>1</v>
      </c>
      <c r="G247" s="4" t="s">
        <v>1102</v>
      </c>
      <c r="H247" s="3"/>
      <c r="I247" s="4"/>
      <c r="J247" s="82"/>
      <c r="K247" s="79"/>
      <c r="L247" s="79"/>
      <c r="M247" s="79"/>
    </row>
    <row r="248" spans="1:13" s="9" customFormat="1" ht="28.5" customHeight="1">
      <c r="A248" s="81"/>
      <c r="B248" s="81"/>
      <c r="C248" s="81"/>
      <c r="D248" s="81"/>
      <c r="E248" s="81"/>
      <c r="F248" s="3">
        <v>2</v>
      </c>
      <c r="G248" s="4" t="s">
        <v>1103</v>
      </c>
      <c r="H248" s="3" t="s">
        <v>414</v>
      </c>
      <c r="I248" s="4" t="s">
        <v>1104</v>
      </c>
      <c r="J248" s="84"/>
      <c r="K248" s="81"/>
      <c r="L248" s="81"/>
      <c r="M248" s="81"/>
    </row>
    <row r="249" spans="1:13" s="9" customFormat="1">
      <c r="A249" s="79">
        <v>104</v>
      </c>
      <c r="B249" s="79" t="s">
        <v>1105</v>
      </c>
      <c r="C249" s="79" t="s">
        <v>1106</v>
      </c>
      <c r="D249" s="79" t="s">
        <v>1107</v>
      </c>
      <c r="E249" s="79" t="s">
        <v>979</v>
      </c>
      <c r="F249" s="3">
        <v>1</v>
      </c>
      <c r="G249" s="4" t="s">
        <v>1108</v>
      </c>
      <c r="H249" s="3" t="s">
        <v>1109</v>
      </c>
      <c r="I249" s="4"/>
      <c r="J249" s="82"/>
      <c r="K249" s="79"/>
      <c r="L249" s="79"/>
      <c r="M249" s="79"/>
    </row>
    <row r="250" spans="1:13" s="9" customFormat="1">
      <c r="A250" s="81"/>
      <c r="B250" s="81"/>
      <c r="C250" s="81"/>
      <c r="D250" s="81"/>
      <c r="E250" s="81"/>
      <c r="F250" s="3">
        <v>2</v>
      </c>
      <c r="G250" s="4" t="s">
        <v>900</v>
      </c>
      <c r="H250" s="3"/>
      <c r="I250" s="4" t="s">
        <v>1110</v>
      </c>
      <c r="J250" s="84"/>
      <c r="K250" s="81"/>
      <c r="L250" s="81"/>
      <c r="M250" s="81"/>
    </row>
    <row r="251" spans="1:13" s="9" customFormat="1" ht="28.5" customHeight="1">
      <c r="A251" s="79">
        <v>105</v>
      </c>
      <c r="B251" s="79" t="s">
        <v>1111</v>
      </c>
      <c r="C251" s="79" t="s">
        <v>1112</v>
      </c>
      <c r="D251" s="79" t="s">
        <v>1113</v>
      </c>
      <c r="E251" s="79" t="s">
        <v>1114</v>
      </c>
      <c r="F251" s="3">
        <v>1</v>
      </c>
      <c r="G251" s="4" t="s">
        <v>1115</v>
      </c>
      <c r="H251" s="3" t="s">
        <v>1116</v>
      </c>
      <c r="I251" s="4"/>
      <c r="J251" s="82"/>
      <c r="K251" s="79"/>
      <c r="L251" s="79"/>
      <c r="M251" s="79"/>
    </row>
    <row r="252" spans="1:13" s="9" customFormat="1">
      <c r="A252" s="81"/>
      <c r="B252" s="81"/>
      <c r="C252" s="81"/>
      <c r="D252" s="81"/>
      <c r="E252" s="81"/>
      <c r="F252" s="3">
        <v>2</v>
      </c>
      <c r="G252" s="4" t="s">
        <v>1117</v>
      </c>
      <c r="H252" s="3" t="s">
        <v>1118</v>
      </c>
      <c r="I252" s="4" t="s">
        <v>1119</v>
      </c>
      <c r="J252" s="84"/>
      <c r="K252" s="81"/>
      <c r="L252" s="81"/>
      <c r="M252" s="81"/>
    </row>
    <row r="253" spans="1:13" s="9" customFormat="1">
      <c r="A253" s="79">
        <v>106</v>
      </c>
      <c r="B253" s="79" t="s">
        <v>1120</v>
      </c>
      <c r="C253" s="79" t="s">
        <v>1121</v>
      </c>
      <c r="D253" s="79" t="s">
        <v>1122</v>
      </c>
      <c r="E253" s="79" t="s">
        <v>858</v>
      </c>
      <c r="F253" s="3">
        <v>1</v>
      </c>
      <c r="G253" s="4" t="s">
        <v>1123</v>
      </c>
      <c r="H253" s="3" t="s">
        <v>1124</v>
      </c>
      <c r="I253" s="4"/>
      <c r="J253" s="82"/>
      <c r="K253" s="79"/>
      <c r="L253" s="79"/>
      <c r="M253" s="79"/>
    </row>
    <row r="254" spans="1:13" s="9" customFormat="1">
      <c r="A254" s="81"/>
      <c r="B254" s="81"/>
      <c r="C254" s="81"/>
      <c r="D254" s="81"/>
      <c r="E254" s="81"/>
      <c r="F254" s="3">
        <v>2</v>
      </c>
      <c r="G254" s="4" t="s">
        <v>900</v>
      </c>
      <c r="H254" s="3"/>
      <c r="I254" s="4" t="s">
        <v>1125</v>
      </c>
      <c r="J254" s="84"/>
      <c r="K254" s="81"/>
      <c r="L254" s="81"/>
      <c r="M254" s="81"/>
    </row>
    <row r="255" spans="1:13" s="9" customFormat="1">
      <c r="A255" s="79">
        <v>107</v>
      </c>
      <c r="B255" s="79" t="s">
        <v>1126</v>
      </c>
      <c r="C255" s="79" t="s">
        <v>1127</v>
      </c>
      <c r="D255" s="79" t="s">
        <v>1128</v>
      </c>
      <c r="E255" s="79" t="s">
        <v>1129</v>
      </c>
      <c r="F255" s="3">
        <v>1</v>
      </c>
      <c r="G255" s="4" t="s">
        <v>1130</v>
      </c>
      <c r="H255" s="3"/>
      <c r="I255" s="4"/>
      <c r="J255" s="82"/>
      <c r="K255" s="79"/>
      <c r="L255" s="79"/>
      <c r="M255" s="79"/>
    </row>
    <row r="256" spans="1:13" s="9" customFormat="1">
      <c r="A256" s="81"/>
      <c r="B256" s="81"/>
      <c r="C256" s="81"/>
      <c r="D256" s="81"/>
      <c r="E256" s="81"/>
      <c r="F256" s="3">
        <v>2</v>
      </c>
      <c r="G256" s="4" t="s">
        <v>1131</v>
      </c>
      <c r="H256" s="3"/>
      <c r="I256" s="4" t="s">
        <v>1132</v>
      </c>
      <c r="J256" s="84"/>
      <c r="K256" s="81"/>
      <c r="L256" s="81"/>
      <c r="M256" s="81"/>
    </row>
    <row r="257" spans="1:13" s="9" customFormat="1">
      <c r="A257" s="79">
        <v>108</v>
      </c>
      <c r="B257" s="79" t="s">
        <v>1133</v>
      </c>
      <c r="C257" s="79" t="s">
        <v>1134</v>
      </c>
      <c r="D257" s="79" t="s">
        <v>1135</v>
      </c>
      <c r="E257" s="79" t="s">
        <v>1136</v>
      </c>
      <c r="F257" s="3">
        <v>1</v>
      </c>
      <c r="G257" s="4" t="s">
        <v>1137</v>
      </c>
      <c r="H257" s="3">
        <v>30</v>
      </c>
      <c r="I257" s="4"/>
      <c r="J257" s="82"/>
      <c r="K257" s="79"/>
      <c r="L257" s="79"/>
      <c r="M257" s="79"/>
    </row>
    <row r="258" spans="1:13" s="9" customFormat="1" ht="28.5" customHeight="1">
      <c r="A258" s="81"/>
      <c r="B258" s="81"/>
      <c r="C258" s="81"/>
      <c r="D258" s="81"/>
      <c r="E258" s="81"/>
      <c r="F258" s="3">
        <v>2</v>
      </c>
      <c r="G258" s="4" t="s">
        <v>1138</v>
      </c>
      <c r="H258" s="3"/>
      <c r="I258" s="4" t="s">
        <v>1139</v>
      </c>
      <c r="J258" s="84"/>
      <c r="K258" s="81"/>
      <c r="L258" s="81"/>
      <c r="M258" s="81"/>
    </row>
    <row r="259" spans="1:13" s="9" customFormat="1" ht="37.5" customHeight="1">
      <c r="A259" s="88" t="s">
        <v>32</v>
      </c>
      <c r="B259" s="89"/>
      <c r="C259" s="89"/>
      <c r="D259" s="89"/>
      <c r="E259" s="89"/>
      <c r="F259" s="89"/>
      <c r="G259" s="89"/>
      <c r="H259" s="89"/>
      <c r="I259" s="89"/>
      <c r="J259" s="89"/>
      <c r="K259" s="89"/>
      <c r="L259" s="89"/>
      <c r="M259" s="90"/>
    </row>
    <row r="260" spans="1:13" s="9" customFormat="1">
      <c r="A260" s="79">
        <v>109</v>
      </c>
      <c r="B260" s="79" t="s">
        <v>1140</v>
      </c>
      <c r="C260" s="79" t="s">
        <v>1141</v>
      </c>
      <c r="D260" s="79" t="s">
        <v>1142</v>
      </c>
      <c r="E260" s="79" t="s">
        <v>1143</v>
      </c>
      <c r="F260" s="3">
        <v>1</v>
      </c>
      <c r="G260" s="4" t="s">
        <v>1144</v>
      </c>
      <c r="H260" s="3"/>
      <c r="I260" s="4"/>
      <c r="J260" s="82"/>
      <c r="K260" s="79"/>
      <c r="L260" s="79"/>
      <c r="M260" s="79"/>
    </row>
    <row r="261" spans="1:13" s="9" customFormat="1">
      <c r="A261" s="80"/>
      <c r="B261" s="80"/>
      <c r="C261" s="80"/>
      <c r="D261" s="80"/>
      <c r="E261" s="80"/>
      <c r="F261" s="3">
        <v>2</v>
      </c>
      <c r="G261" s="4" t="s">
        <v>1145</v>
      </c>
      <c r="H261" s="3"/>
      <c r="I261" s="4"/>
      <c r="J261" s="83"/>
      <c r="K261" s="80"/>
      <c r="L261" s="80"/>
      <c r="M261" s="80"/>
    </row>
    <row r="262" spans="1:13" s="9" customFormat="1">
      <c r="A262" s="80"/>
      <c r="B262" s="80"/>
      <c r="C262" s="80"/>
      <c r="D262" s="80"/>
      <c r="E262" s="80"/>
      <c r="F262" s="3">
        <v>3</v>
      </c>
      <c r="G262" s="4" t="s">
        <v>1146</v>
      </c>
      <c r="H262" s="3" t="s">
        <v>1147</v>
      </c>
      <c r="I262" s="4"/>
      <c r="J262" s="83"/>
      <c r="K262" s="80"/>
      <c r="L262" s="80"/>
      <c r="M262" s="80"/>
    </row>
    <row r="263" spans="1:13" s="9" customFormat="1">
      <c r="A263" s="81"/>
      <c r="B263" s="81"/>
      <c r="C263" s="81"/>
      <c r="D263" s="81"/>
      <c r="E263" s="81"/>
      <c r="F263" s="3">
        <v>4</v>
      </c>
      <c r="G263" s="4" t="s">
        <v>1148</v>
      </c>
      <c r="H263" s="3"/>
      <c r="I263" s="4" t="s">
        <v>1149</v>
      </c>
      <c r="J263" s="84"/>
      <c r="K263" s="81"/>
      <c r="L263" s="81"/>
      <c r="M263" s="81"/>
    </row>
    <row r="264" spans="1:13" s="9" customFormat="1" ht="28.5" customHeight="1">
      <c r="A264" s="79">
        <v>110</v>
      </c>
      <c r="B264" s="79" t="s">
        <v>1150</v>
      </c>
      <c r="C264" s="79" t="s">
        <v>1151</v>
      </c>
      <c r="D264" s="79" t="s">
        <v>1152</v>
      </c>
      <c r="E264" s="79" t="s">
        <v>1153</v>
      </c>
      <c r="F264" s="3">
        <v>1</v>
      </c>
      <c r="G264" s="4" t="s">
        <v>1154</v>
      </c>
      <c r="H264" s="3"/>
      <c r="I264" s="4"/>
      <c r="J264" s="82"/>
      <c r="K264" s="79"/>
      <c r="L264" s="79"/>
      <c r="M264" s="79"/>
    </row>
    <row r="265" spans="1:13" s="9" customFormat="1">
      <c r="A265" s="81"/>
      <c r="B265" s="81"/>
      <c r="C265" s="81"/>
      <c r="D265" s="81"/>
      <c r="E265" s="81"/>
      <c r="F265" s="3">
        <v>2</v>
      </c>
      <c r="G265" s="4" t="s">
        <v>1155</v>
      </c>
      <c r="H265" s="3"/>
      <c r="I265" s="4" t="s">
        <v>1156</v>
      </c>
      <c r="J265" s="84"/>
      <c r="K265" s="81"/>
      <c r="L265" s="81"/>
      <c r="M265" s="81"/>
    </row>
    <row r="266" spans="1:13" s="9" customFormat="1">
      <c r="A266" s="79">
        <v>111</v>
      </c>
      <c r="B266" s="79" t="s">
        <v>1157</v>
      </c>
      <c r="C266" s="79" t="s">
        <v>1158</v>
      </c>
      <c r="D266" s="79" t="s">
        <v>1159</v>
      </c>
      <c r="E266" s="79" t="s">
        <v>1160</v>
      </c>
      <c r="F266" s="3">
        <v>1</v>
      </c>
      <c r="G266" s="4" t="s">
        <v>1161</v>
      </c>
      <c r="H266" s="3" t="s">
        <v>414</v>
      </c>
      <c r="I266" s="4"/>
      <c r="J266" s="82"/>
      <c r="K266" s="79"/>
      <c r="L266" s="79"/>
      <c r="M266" s="79"/>
    </row>
    <row r="267" spans="1:13" s="9" customFormat="1">
      <c r="A267" s="81"/>
      <c r="B267" s="81"/>
      <c r="C267" s="81"/>
      <c r="D267" s="81"/>
      <c r="E267" s="81"/>
      <c r="F267" s="3">
        <v>2</v>
      </c>
      <c r="G267" s="4" t="s">
        <v>1148</v>
      </c>
      <c r="H267" s="3"/>
      <c r="I267" s="4" t="s">
        <v>1162</v>
      </c>
      <c r="J267" s="84"/>
      <c r="K267" s="81"/>
      <c r="L267" s="81"/>
      <c r="M267" s="81"/>
    </row>
    <row r="268" spans="1:13" s="9" customFormat="1">
      <c r="A268" s="79">
        <v>112</v>
      </c>
      <c r="B268" s="79" t="s">
        <v>1163</v>
      </c>
      <c r="C268" s="79" t="s">
        <v>1164</v>
      </c>
      <c r="D268" s="79" t="s">
        <v>1165</v>
      </c>
      <c r="E268" s="79" t="s">
        <v>1160</v>
      </c>
      <c r="F268" s="3">
        <v>1</v>
      </c>
      <c r="G268" s="4" t="s">
        <v>1166</v>
      </c>
      <c r="H268" s="3" t="s">
        <v>1167</v>
      </c>
      <c r="I268" s="4"/>
      <c r="J268" s="82"/>
      <c r="K268" s="79"/>
      <c r="L268" s="79"/>
      <c r="M268" s="79"/>
    </row>
    <row r="269" spans="1:13" s="9" customFormat="1">
      <c r="A269" s="81"/>
      <c r="B269" s="81"/>
      <c r="C269" s="81"/>
      <c r="D269" s="81"/>
      <c r="E269" s="81"/>
      <c r="F269" s="3">
        <v>2</v>
      </c>
      <c r="G269" s="4" t="s">
        <v>1148</v>
      </c>
      <c r="H269" s="3"/>
      <c r="I269" s="4" t="s">
        <v>1168</v>
      </c>
      <c r="J269" s="84"/>
      <c r="K269" s="81"/>
      <c r="L269" s="81"/>
      <c r="M269" s="81"/>
    </row>
    <row r="270" spans="1:13" s="9" customFormat="1" ht="28.5" customHeight="1">
      <c r="A270" s="79">
        <v>113</v>
      </c>
      <c r="B270" s="79" t="s">
        <v>1169</v>
      </c>
      <c r="C270" s="79" t="s">
        <v>1170</v>
      </c>
      <c r="D270" s="79" t="s">
        <v>1171</v>
      </c>
      <c r="E270" s="79" t="s">
        <v>1160</v>
      </c>
      <c r="F270" s="3">
        <v>1</v>
      </c>
      <c r="G270" s="4" t="s">
        <v>1172</v>
      </c>
      <c r="H270" s="3" t="s">
        <v>1173</v>
      </c>
      <c r="I270" s="4"/>
      <c r="J270" s="82"/>
      <c r="K270" s="79"/>
      <c r="L270" s="79"/>
      <c r="M270" s="79"/>
    </row>
    <row r="271" spans="1:13" s="9" customFormat="1" ht="28.5" customHeight="1">
      <c r="A271" s="81"/>
      <c r="B271" s="81"/>
      <c r="C271" s="81"/>
      <c r="D271" s="81"/>
      <c r="E271" s="81"/>
      <c r="F271" s="3">
        <v>2</v>
      </c>
      <c r="G271" s="4" t="s">
        <v>1148</v>
      </c>
      <c r="H271" s="3"/>
      <c r="I271" s="4" t="s">
        <v>1174</v>
      </c>
      <c r="J271" s="84"/>
      <c r="K271" s="81"/>
      <c r="L271" s="81"/>
      <c r="M271" s="81"/>
    </row>
    <row r="272" spans="1:13" s="9" customFormat="1" ht="36" customHeight="1">
      <c r="A272" s="88" t="s">
        <v>35</v>
      </c>
      <c r="B272" s="89"/>
      <c r="C272" s="89"/>
      <c r="D272" s="89"/>
      <c r="E272" s="89"/>
      <c r="F272" s="89"/>
      <c r="G272" s="89"/>
      <c r="H272" s="89"/>
      <c r="I272" s="89"/>
      <c r="J272" s="89"/>
      <c r="K272" s="89"/>
      <c r="L272" s="89"/>
      <c r="M272" s="90"/>
    </row>
    <row r="273" spans="1:13" s="9" customFormat="1">
      <c r="A273" s="79">
        <v>114</v>
      </c>
      <c r="B273" s="79" t="s">
        <v>1175</v>
      </c>
      <c r="C273" s="79" t="s">
        <v>1176</v>
      </c>
      <c r="D273" s="79" t="s">
        <v>1177</v>
      </c>
      <c r="E273" s="79" t="s">
        <v>1178</v>
      </c>
      <c r="F273" s="3">
        <v>1</v>
      </c>
      <c r="G273" s="4" t="s">
        <v>1179</v>
      </c>
      <c r="H273" s="3"/>
      <c r="I273" s="4"/>
      <c r="J273" s="82" t="s">
        <v>1180</v>
      </c>
      <c r="K273" s="85" t="s">
        <v>398</v>
      </c>
      <c r="L273" s="79" t="s">
        <v>861</v>
      </c>
      <c r="M273" s="79" t="s">
        <v>1181</v>
      </c>
    </row>
    <row r="274" spans="1:13" s="9" customFormat="1">
      <c r="A274" s="80"/>
      <c r="B274" s="80"/>
      <c r="C274" s="80"/>
      <c r="D274" s="80"/>
      <c r="E274" s="80"/>
      <c r="F274" s="3">
        <v>2</v>
      </c>
      <c r="G274" s="4" t="s">
        <v>1182</v>
      </c>
      <c r="H274" s="3">
        <v>1000</v>
      </c>
      <c r="I274" s="4"/>
      <c r="J274" s="83"/>
      <c r="K274" s="80"/>
      <c r="L274" s="80"/>
      <c r="M274" s="80"/>
    </row>
    <row r="275" spans="1:13" s="9" customFormat="1" ht="28.5" customHeight="1">
      <c r="A275" s="80"/>
      <c r="B275" s="80"/>
      <c r="C275" s="80"/>
      <c r="D275" s="80"/>
      <c r="E275" s="80"/>
      <c r="F275" s="3">
        <v>3</v>
      </c>
      <c r="G275" s="4" t="s">
        <v>1183</v>
      </c>
      <c r="H275" s="3">
        <v>500</v>
      </c>
      <c r="I275" s="4"/>
      <c r="J275" s="83"/>
      <c r="K275" s="80"/>
      <c r="L275" s="80"/>
      <c r="M275" s="80"/>
    </row>
    <row r="276" spans="1:13" s="9" customFormat="1" ht="42.75" customHeight="1">
      <c r="A276" s="81"/>
      <c r="B276" s="81"/>
      <c r="C276" s="81"/>
      <c r="D276" s="81"/>
      <c r="E276" s="81"/>
      <c r="F276" s="3">
        <v>4</v>
      </c>
      <c r="G276" s="4" t="s">
        <v>1184</v>
      </c>
      <c r="H276" s="3"/>
      <c r="I276" s="4" t="s">
        <v>1185</v>
      </c>
      <c r="J276" s="84"/>
      <c r="K276" s="81"/>
      <c r="L276" s="81"/>
      <c r="M276" s="81"/>
    </row>
    <row r="277" spans="1:13" s="9" customFormat="1">
      <c r="A277" s="79">
        <v>115</v>
      </c>
      <c r="B277" s="79" t="s">
        <v>1186</v>
      </c>
      <c r="C277" s="79" t="s">
        <v>1187</v>
      </c>
      <c r="D277" s="79" t="s">
        <v>1188</v>
      </c>
      <c r="E277" s="79" t="s">
        <v>1178</v>
      </c>
      <c r="F277" s="3">
        <v>1</v>
      </c>
      <c r="G277" s="4" t="s">
        <v>1189</v>
      </c>
      <c r="H277" s="3">
        <v>9999999</v>
      </c>
      <c r="I277" s="4"/>
      <c r="J277" s="82" t="s">
        <v>1190</v>
      </c>
      <c r="K277" s="85" t="s">
        <v>398</v>
      </c>
      <c r="L277" s="79" t="s">
        <v>861</v>
      </c>
      <c r="M277" s="79" t="s">
        <v>1191</v>
      </c>
    </row>
    <row r="278" spans="1:13" s="9" customFormat="1">
      <c r="A278" s="81"/>
      <c r="B278" s="81"/>
      <c r="C278" s="81"/>
      <c r="D278" s="81"/>
      <c r="E278" s="81"/>
      <c r="F278" s="3">
        <v>2</v>
      </c>
      <c r="G278" s="4" t="s">
        <v>1184</v>
      </c>
      <c r="H278" s="3"/>
      <c r="I278" s="4" t="s">
        <v>1192</v>
      </c>
      <c r="J278" s="84"/>
      <c r="K278" s="81"/>
      <c r="L278" s="81"/>
      <c r="M278" s="81"/>
    </row>
    <row r="279" spans="1:13" s="9" customFormat="1" ht="28.5" customHeight="1">
      <c r="A279" s="79">
        <v>116</v>
      </c>
      <c r="B279" s="79" t="s">
        <v>1193</v>
      </c>
      <c r="C279" s="79" t="s">
        <v>373</v>
      </c>
      <c r="D279" s="79" t="s">
        <v>1194</v>
      </c>
      <c r="E279" s="79" t="s">
        <v>1195</v>
      </c>
      <c r="F279" s="3">
        <v>1</v>
      </c>
      <c r="G279" s="4" t="s">
        <v>1196</v>
      </c>
      <c r="H279" s="3"/>
      <c r="I279" s="4"/>
      <c r="J279" s="82" t="s">
        <v>1197</v>
      </c>
      <c r="K279" s="85" t="s">
        <v>398</v>
      </c>
      <c r="L279" s="79" t="s">
        <v>861</v>
      </c>
      <c r="M279" s="86" t="s">
        <v>445</v>
      </c>
    </row>
    <row r="280" spans="1:13" s="9" customFormat="1">
      <c r="A280" s="80"/>
      <c r="B280" s="80"/>
      <c r="C280" s="80"/>
      <c r="D280" s="80"/>
      <c r="E280" s="80"/>
      <c r="F280" s="3">
        <v>2</v>
      </c>
      <c r="G280" s="4" t="s">
        <v>1198</v>
      </c>
      <c r="H280" s="3"/>
      <c r="I280" s="4"/>
      <c r="J280" s="83"/>
      <c r="K280" s="80"/>
      <c r="L280" s="80"/>
      <c r="M280" s="80"/>
    </row>
    <row r="281" spans="1:13" s="9" customFormat="1">
      <c r="A281" s="81"/>
      <c r="B281" s="81"/>
      <c r="C281" s="81"/>
      <c r="D281" s="81"/>
      <c r="E281" s="81"/>
      <c r="F281" s="3">
        <v>3</v>
      </c>
      <c r="G281" s="4" t="s">
        <v>1199</v>
      </c>
      <c r="H281" s="3"/>
      <c r="I281" s="4" t="s">
        <v>1200</v>
      </c>
      <c r="J281" s="84"/>
      <c r="K281" s="81"/>
      <c r="L281" s="81"/>
      <c r="M281" s="81"/>
    </row>
    <row r="282" spans="1:13" s="9" customFormat="1">
      <c r="A282" s="79">
        <v>117</v>
      </c>
      <c r="B282" s="79" t="s">
        <v>1201</v>
      </c>
      <c r="C282" s="79" t="s">
        <v>1202</v>
      </c>
      <c r="D282" s="79" t="s">
        <v>1203</v>
      </c>
      <c r="E282" s="79" t="s">
        <v>1178</v>
      </c>
      <c r="F282" s="3">
        <v>1</v>
      </c>
      <c r="G282" s="4" t="s">
        <v>1204</v>
      </c>
      <c r="H282" s="3">
        <v>-100</v>
      </c>
      <c r="I282" s="4"/>
      <c r="J282" s="82" t="s">
        <v>1205</v>
      </c>
      <c r="K282" s="85" t="s">
        <v>398</v>
      </c>
      <c r="L282" s="79" t="s">
        <v>861</v>
      </c>
      <c r="M282" s="79"/>
    </row>
    <row r="283" spans="1:13" s="9" customFormat="1">
      <c r="A283" s="81"/>
      <c r="B283" s="81"/>
      <c r="C283" s="81"/>
      <c r="D283" s="81"/>
      <c r="E283" s="81"/>
      <c r="F283" s="3">
        <v>2</v>
      </c>
      <c r="G283" s="4" t="s">
        <v>1184</v>
      </c>
      <c r="H283" s="3"/>
      <c r="I283" s="4" t="s">
        <v>1206</v>
      </c>
      <c r="J283" s="84"/>
      <c r="K283" s="81"/>
      <c r="L283" s="81"/>
      <c r="M283" s="81"/>
    </row>
    <row r="284" spans="1:13" s="9" customFormat="1">
      <c r="A284" s="79">
        <v>118</v>
      </c>
      <c r="B284" s="79" t="s">
        <v>1207</v>
      </c>
      <c r="C284" s="79" t="s">
        <v>1208</v>
      </c>
      <c r="D284" s="79" t="s">
        <v>1209</v>
      </c>
      <c r="E284" s="79" t="s">
        <v>1178</v>
      </c>
      <c r="F284" s="3">
        <v>1</v>
      </c>
      <c r="G284" s="4" t="s">
        <v>1210</v>
      </c>
      <c r="H284" s="3" t="s">
        <v>414</v>
      </c>
      <c r="I284" s="4"/>
      <c r="J284" s="82" t="s">
        <v>1211</v>
      </c>
      <c r="K284" s="85" t="s">
        <v>398</v>
      </c>
      <c r="L284" s="79" t="s">
        <v>861</v>
      </c>
      <c r="M284" s="79"/>
    </row>
    <row r="285" spans="1:13" s="9" customFormat="1">
      <c r="A285" s="81"/>
      <c r="B285" s="81"/>
      <c r="C285" s="81"/>
      <c r="D285" s="81"/>
      <c r="E285" s="81"/>
      <c r="F285" s="3">
        <v>2</v>
      </c>
      <c r="G285" s="4" t="s">
        <v>1184</v>
      </c>
      <c r="H285" s="3"/>
      <c r="I285" s="4" t="s">
        <v>1212</v>
      </c>
      <c r="J285" s="84"/>
      <c r="K285" s="81"/>
      <c r="L285" s="81"/>
      <c r="M285" s="81"/>
    </row>
    <row r="286" spans="1:13" s="9" customFormat="1" ht="39.75" customHeight="1">
      <c r="A286" s="88" t="s">
        <v>37</v>
      </c>
      <c r="B286" s="89"/>
      <c r="C286" s="89"/>
      <c r="D286" s="89"/>
      <c r="E286" s="89"/>
      <c r="F286" s="89"/>
      <c r="G286" s="89"/>
      <c r="H286" s="89"/>
      <c r="I286" s="89"/>
      <c r="J286" s="89"/>
      <c r="K286" s="89"/>
      <c r="L286" s="89"/>
      <c r="M286" s="90"/>
    </row>
    <row r="287" spans="1:13" s="9" customFormat="1" ht="28.5" customHeight="1">
      <c r="A287" s="79">
        <v>119</v>
      </c>
      <c r="B287" s="79" t="s">
        <v>1213</v>
      </c>
      <c r="C287" s="79" t="s">
        <v>1214</v>
      </c>
      <c r="D287" s="79" t="s">
        <v>1215</v>
      </c>
      <c r="E287" s="79" t="s">
        <v>490</v>
      </c>
      <c r="F287" s="3">
        <v>1</v>
      </c>
      <c r="G287" s="4" t="s">
        <v>1216</v>
      </c>
      <c r="H287" s="3"/>
      <c r="I287" s="4"/>
      <c r="J287" s="82"/>
      <c r="K287" s="79"/>
      <c r="L287" s="79"/>
      <c r="M287" s="79"/>
    </row>
    <row r="288" spans="1:13" s="9" customFormat="1">
      <c r="A288" s="81"/>
      <c r="B288" s="81"/>
      <c r="C288" s="81"/>
      <c r="D288" s="81"/>
      <c r="E288" s="81"/>
      <c r="F288" s="3">
        <v>2</v>
      </c>
      <c r="G288" s="4" t="s">
        <v>1217</v>
      </c>
      <c r="H288" s="3"/>
      <c r="I288" s="4" t="s">
        <v>1218</v>
      </c>
      <c r="J288" s="84"/>
      <c r="K288" s="81"/>
      <c r="L288" s="81"/>
      <c r="M288" s="81"/>
    </row>
    <row r="289" spans="1:13" s="9" customFormat="1">
      <c r="A289" s="79">
        <v>120</v>
      </c>
      <c r="B289" s="79" t="s">
        <v>1219</v>
      </c>
      <c r="C289" s="79" t="s">
        <v>1220</v>
      </c>
      <c r="D289" s="79" t="s">
        <v>1221</v>
      </c>
      <c r="E289" s="79" t="s">
        <v>464</v>
      </c>
      <c r="F289" s="3">
        <v>1</v>
      </c>
      <c r="G289" s="4" t="s">
        <v>1222</v>
      </c>
      <c r="H289" s="3"/>
      <c r="I289" s="4" t="s">
        <v>1223</v>
      </c>
      <c r="J289" s="82"/>
      <c r="K289" s="79"/>
      <c r="L289" s="79"/>
      <c r="M289" s="79"/>
    </row>
    <row r="290" spans="1:13" s="9" customFormat="1">
      <c r="A290" s="81"/>
      <c r="B290" s="81"/>
      <c r="C290" s="81"/>
      <c r="D290" s="81"/>
      <c r="E290" s="81"/>
      <c r="F290" s="3">
        <v>2</v>
      </c>
      <c r="G290" s="4" t="s">
        <v>1224</v>
      </c>
      <c r="H290" s="3"/>
      <c r="I290" s="4" t="s">
        <v>1225</v>
      </c>
      <c r="J290" s="84"/>
      <c r="K290" s="81"/>
      <c r="L290" s="81"/>
      <c r="M290" s="81"/>
    </row>
    <row r="291" spans="1:13" s="9" customFormat="1">
      <c r="A291" s="79">
        <v>121</v>
      </c>
      <c r="B291" s="79" t="s">
        <v>1226</v>
      </c>
      <c r="C291" s="79" t="s">
        <v>1227</v>
      </c>
      <c r="D291" s="79" t="s">
        <v>1228</v>
      </c>
      <c r="E291" s="79" t="s">
        <v>1229</v>
      </c>
      <c r="F291" s="3">
        <v>1</v>
      </c>
      <c r="G291" s="4" t="s">
        <v>1230</v>
      </c>
      <c r="H291" s="3"/>
      <c r="I291" s="4" t="s">
        <v>1231</v>
      </c>
      <c r="J291" s="82"/>
      <c r="K291" s="79"/>
      <c r="L291" s="79"/>
      <c r="M291" s="79"/>
    </row>
    <row r="292" spans="1:13" s="9" customFormat="1">
      <c r="A292" s="81"/>
      <c r="B292" s="81"/>
      <c r="C292" s="81"/>
      <c r="D292" s="81"/>
      <c r="E292" s="81"/>
      <c r="F292" s="3">
        <v>2</v>
      </c>
      <c r="G292" s="4" t="s">
        <v>1232</v>
      </c>
      <c r="H292" s="3"/>
      <c r="I292" s="4" t="s">
        <v>1233</v>
      </c>
      <c r="J292" s="84"/>
      <c r="K292" s="81"/>
      <c r="L292" s="81"/>
      <c r="M292" s="81"/>
    </row>
    <row r="293" spans="1:13" s="9" customFormat="1">
      <c r="A293" s="79">
        <v>122</v>
      </c>
      <c r="B293" s="79" t="s">
        <v>1234</v>
      </c>
      <c r="C293" s="79" t="s">
        <v>1235</v>
      </c>
      <c r="D293" s="79" t="s">
        <v>1236</v>
      </c>
      <c r="E293" s="79" t="s">
        <v>1237</v>
      </c>
      <c r="F293" s="3">
        <v>1</v>
      </c>
      <c r="G293" s="4" t="s">
        <v>1238</v>
      </c>
      <c r="H293" s="3"/>
      <c r="I293" s="4"/>
      <c r="J293" s="82"/>
      <c r="K293" s="79"/>
      <c r="L293" s="79"/>
      <c r="M293" s="79"/>
    </row>
    <row r="294" spans="1:13" s="9" customFormat="1">
      <c r="A294" s="81"/>
      <c r="B294" s="81"/>
      <c r="C294" s="81"/>
      <c r="D294" s="81"/>
      <c r="E294" s="81"/>
      <c r="F294" s="3">
        <v>2</v>
      </c>
      <c r="G294" s="4" t="s">
        <v>1239</v>
      </c>
      <c r="H294" s="3"/>
      <c r="I294" s="4" t="s">
        <v>1240</v>
      </c>
      <c r="J294" s="84"/>
      <c r="K294" s="81"/>
      <c r="L294" s="81"/>
      <c r="M294" s="81"/>
    </row>
    <row r="295" spans="1:13" s="9" customFormat="1">
      <c r="A295" s="79">
        <v>123</v>
      </c>
      <c r="B295" s="79" t="s">
        <v>1241</v>
      </c>
      <c r="C295" s="79" t="s">
        <v>1242</v>
      </c>
      <c r="D295" s="79" t="s">
        <v>1243</v>
      </c>
      <c r="E295" s="79" t="s">
        <v>1244</v>
      </c>
      <c r="F295" s="3">
        <v>1</v>
      </c>
      <c r="G295" s="4" t="s">
        <v>1245</v>
      </c>
      <c r="H295" s="3"/>
      <c r="I295" s="4"/>
      <c r="J295" s="82"/>
      <c r="K295" s="79"/>
      <c r="L295" s="79"/>
      <c r="M295" s="79"/>
    </row>
    <row r="296" spans="1:13" s="9" customFormat="1">
      <c r="A296" s="81"/>
      <c r="B296" s="81"/>
      <c r="C296" s="81"/>
      <c r="D296" s="81"/>
      <c r="E296" s="81"/>
      <c r="F296" s="3">
        <v>2</v>
      </c>
      <c r="G296" s="4" t="s">
        <v>1246</v>
      </c>
      <c r="H296" s="3"/>
      <c r="I296" s="4" t="s">
        <v>1247</v>
      </c>
      <c r="J296" s="84"/>
      <c r="K296" s="81"/>
      <c r="L296" s="81"/>
      <c r="M296" s="81"/>
    </row>
    <row r="297" spans="1:13" s="9" customFormat="1">
      <c r="A297" s="79">
        <v>124</v>
      </c>
      <c r="B297" s="79" t="s">
        <v>1248</v>
      </c>
      <c r="C297" s="79" t="s">
        <v>1249</v>
      </c>
      <c r="D297" s="79" t="s">
        <v>1250</v>
      </c>
      <c r="E297" s="79" t="s">
        <v>1251</v>
      </c>
      <c r="F297" s="3">
        <v>1</v>
      </c>
      <c r="G297" s="4" t="s">
        <v>1252</v>
      </c>
      <c r="H297" s="3"/>
      <c r="I297" s="4"/>
      <c r="J297" s="82"/>
      <c r="K297" s="79"/>
      <c r="L297" s="79"/>
      <c r="M297" s="79"/>
    </row>
    <row r="298" spans="1:13" s="9" customFormat="1" ht="28.5" customHeight="1">
      <c r="A298" s="81"/>
      <c r="B298" s="81"/>
      <c r="C298" s="81"/>
      <c r="D298" s="81"/>
      <c r="E298" s="81"/>
      <c r="F298" s="3">
        <v>2</v>
      </c>
      <c r="G298" s="4" t="s">
        <v>1253</v>
      </c>
      <c r="H298" s="3"/>
      <c r="I298" s="4" t="s">
        <v>1254</v>
      </c>
      <c r="J298" s="84"/>
      <c r="K298" s="81"/>
      <c r="L298" s="81"/>
      <c r="M298" s="81"/>
    </row>
    <row r="299" spans="1:13" s="9" customFormat="1">
      <c r="A299" s="79">
        <v>125</v>
      </c>
      <c r="B299" s="79" t="s">
        <v>1255</v>
      </c>
      <c r="C299" s="79" t="s">
        <v>1256</v>
      </c>
      <c r="D299" s="79" t="s">
        <v>1257</v>
      </c>
      <c r="E299" s="79" t="s">
        <v>1258</v>
      </c>
      <c r="F299" s="3">
        <v>1</v>
      </c>
      <c r="G299" s="4" t="s">
        <v>1259</v>
      </c>
      <c r="H299" s="3"/>
      <c r="I299" s="4"/>
      <c r="J299" s="82"/>
      <c r="K299" s="79"/>
      <c r="L299" s="79"/>
      <c r="M299" s="79"/>
    </row>
    <row r="300" spans="1:13" s="9" customFormat="1">
      <c r="A300" s="81"/>
      <c r="B300" s="81"/>
      <c r="C300" s="81"/>
      <c r="D300" s="81"/>
      <c r="E300" s="81"/>
      <c r="F300" s="3">
        <v>2</v>
      </c>
      <c r="G300" s="4" t="s">
        <v>1260</v>
      </c>
      <c r="H300" s="3"/>
      <c r="I300" s="4" t="s">
        <v>1261</v>
      </c>
      <c r="J300" s="84"/>
      <c r="K300" s="81"/>
      <c r="L300" s="81"/>
      <c r="M300" s="81"/>
    </row>
    <row r="301" spans="1:13" s="9" customFormat="1" ht="28.5" customHeight="1">
      <c r="A301" s="79">
        <v>126</v>
      </c>
      <c r="B301" s="79" t="s">
        <v>1262</v>
      </c>
      <c r="C301" s="79" t="s">
        <v>1263</v>
      </c>
      <c r="D301" s="79" t="s">
        <v>1264</v>
      </c>
      <c r="E301" s="79" t="s">
        <v>490</v>
      </c>
      <c r="F301" s="3">
        <v>1</v>
      </c>
      <c r="G301" s="4" t="s">
        <v>1265</v>
      </c>
      <c r="H301" s="3"/>
      <c r="I301" s="4"/>
      <c r="J301" s="82"/>
      <c r="K301" s="79"/>
      <c r="L301" s="79"/>
      <c r="M301" s="79"/>
    </row>
    <row r="302" spans="1:13" s="9" customFormat="1">
      <c r="A302" s="81"/>
      <c r="B302" s="81"/>
      <c r="C302" s="81"/>
      <c r="D302" s="81"/>
      <c r="E302" s="81"/>
      <c r="F302" s="3">
        <v>2</v>
      </c>
      <c r="G302" s="4" t="s">
        <v>1266</v>
      </c>
      <c r="H302" s="3"/>
      <c r="I302" s="4" t="s">
        <v>1267</v>
      </c>
      <c r="J302" s="84"/>
      <c r="K302" s="81"/>
      <c r="L302" s="81"/>
      <c r="M302" s="81"/>
    </row>
    <row r="305" spans="11:11">
      <c r="K305">
        <f>COUNTIF(A1:M302, "PASS")</f>
        <v>38</v>
      </c>
    </row>
    <row r="306" spans="11:11">
      <c r="K306">
        <f>COUNTIF(A1:M302, "FAIL")</f>
        <v>16</v>
      </c>
    </row>
  </sheetData>
  <mergeCells count="1118">
    <mergeCell ref="A301:A302"/>
    <mergeCell ref="B301:B302"/>
    <mergeCell ref="C301:C302"/>
    <mergeCell ref="D301:D302"/>
    <mergeCell ref="E301:E302"/>
    <mergeCell ref="J301:J302"/>
    <mergeCell ref="K301:K302"/>
    <mergeCell ref="L301:L302"/>
    <mergeCell ref="M301:M302"/>
    <mergeCell ref="A297:A298"/>
    <mergeCell ref="B297:B298"/>
    <mergeCell ref="C297:C298"/>
    <mergeCell ref="D297:D298"/>
    <mergeCell ref="E297:E298"/>
    <mergeCell ref="J297:J298"/>
    <mergeCell ref="K297:K298"/>
    <mergeCell ref="L297:L298"/>
    <mergeCell ref="M297:M298"/>
    <mergeCell ref="A299:A300"/>
    <mergeCell ref="B299:B300"/>
    <mergeCell ref="C299:C300"/>
    <mergeCell ref="D299:D300"/>
    <mergeCell ref="E299:E300"/>
    <mergeCell ref="J299:J300"/>
    <mergeCell ref="K299:K300"/>
    <mergeCell ref="L299:L300"/>
    <mergeCell ref="M299:M300"/>
    <mergeCell ref="A293:A294"/>
    <mergeCell ref="B293:B294"/>
    <mergeCell ref="C293:C294"/>
    <mergeCell ref="D293:D294"/>
    <mergeCell ref="E293:E294"/>
    <mergeCell ref="J293:J294"/>
    <mergeCell ref="K293:K294"/>
    <mergeCell ref="L293:L294"/>
    <mergeCell ref="M293:M294"/>
    <mergeCell ref="A295:A296"/>
    <mergeCell ref="B295:B296"/>
    <mergeCell ref="C295:C296"/>
    <mergeCell ref="D295:D296"/>
    <mergeCell ref="E295:E296"/>
    <mergeCell ref="J295:J296"/>
    <mergeCell ref="K295:K296"/>
    <mergeCell ref="L295:L296"/>
    <mergeCell ref="M295:M296"/>
    <mergeCell ref="A289:A290"/>
    <mergeCell ref="B289:B290"/>
    <mergeCell ref="C289:C290"/>
    <mergeCell ref="D289:D290"/>
    <mergeCell ref="E289:E290"/>
    <mergeCell ref="J289:J290"/>
    <mergeCell ref="K289:K290"/>
    <mergeCell ref="L289:L290"/>
    <mergeCell ref="M289:M290"/>
    <mergeCell ref="A291:A292"/>
    <mergeCell ref="B291:B292"/>
    <mergeCell ref="C291:C292"/>
    <mergeCell ref="D291:D292"/>
    <mergeCell ref="E291:E292"/>
    <mergeCell ref="J291:J292"/>
    <mergeCell ref="K291:K292"/>
    <mergeCell ref="L291:L292"/>
    <mergeCell ref="M291:M292"/>
    <mergeCell ref="A284:A285"/>
    <mergeCell ref="B284:B285"/>
    <mergeCell ref="C284:C285"/>
    <mergeCell ref="D284:D285"/>
    <mergeCell ref="E284:E285"/>
    <mergeCell ref="J284:J285"/>
    <mergeCell ref="K284:K285"/>
    <mergeCell ref="L284:L285"/>
    <mergeCell ref="M284:M285"/>
    <mergeCell ref="A286:M286"/>
    <mergeCell ref="A287:A288"/>
    <mergeCell ref="B287:B288"/>
    <mergeCell ref="C287:C288"/>
    <mergeCell ref="D287:D288"/>
    <mergeCell ref="E287:E288"/>
    <mergeCell ref="J287:J288"/>
    <mergeCell ref="K287:K288"/>
    <mergeCell ref="L287:L288"/>
    <mergeCell ref="M287:M288"/>
    <mergeCell ref="A279:A281"/>
    <mergeCell ref="B279:B281"/>
    <mergeCell ref="C279:C281"/>
    <mergeCell ref="D279:D281"/>
    <mergeCell ref="E279:E281"/>
    <mergeCell ref="J279:J281"/>
    <mergeCell ref="K279:K281"/>
    <mergeCell ref="L279:L281"/>
    <mergeCell ref="M279:M281"/>
    <mergeCell ref="A282:A283"/>
    <mergeCell ref="B282:B283"/>
    <mergeCell ref="C282:C283"/>
    <mergeCell ref="D282:D283"/>
    <mergeCell ref="E282:E283"/>
    <mergeCell ref="J282:J283"/>
    <mergeCell ref="K282:K283"/>
    <mergeCell ref="L282:L283"/>
    <mergeCell ref="M282:M283"/>
    <mergeCell ref="A272:M272"/>
    <mergeCell ref="A273:A276"/>
    <mergeCell ref="B273:B276"/>
    <mergeCell ref="C273:C276"/>
    <mergeCell ref="D273:D276"/>
    <mergeCell ref="E273:E276"/>
    <mergeCell ref="J273:J276"/>
    <mergeCell ref="K273:K276"/>
    <mergeCell ref="L273:L276"/>
    <mergeCell ref="M273:M276"/>
    <mergeCell ref="A277:A278"/>
    <mergeCell ref="B277:B278"/>
    <mergeCell ref="C277:C278"/>
    <mergeCell ref="D277:D278"/>
    <mergeCell ref="E277:E278"/>
    <mergeCell ref="J277:J278"/>
    <mergeCell ref="K277:K278"/>
    <mergeCell ref="L277:L278"/>
    <mergeCell ref="M277:M278"/>
    <mergeCell ref="A268:A269"/>
    <mergeCell ref="B268:B269"/>
    <mergeCell ref="C268:C269"/>
    <mergeCell ref="D268:D269"/>
    <mergeCell ref="E268:E269"/>
    <mergeCell ref="J268:J269"/>
    <mergeCell ref="K268:K269"/>
    <mergeCell ref="L268:L269"/>
    <mergeCell ref="M268:M269"/>
    <mergeCell ref="A270:A271"/>
    <mergeCell ref="B270:B271"/>
    <mergeCell ref="C270:C271"/>
    <mergeCell ref="D270:D271"/>
    <mergeCell ref="E270:E271"/>
    <mergeCell ref="J270:J271"/>
    <mergeCell ref="K270:K271"/>
    <mergeCell ref="L270:L271"/>
    <mergeCell ref="M270:M271"/>
    <mergeCell ref="A264:A265"/>
    <mergeCell ref="B264:B265"/>
    <mergeCell ref="C264:C265"/>
    <mergeCell ref="D264:D265"/>
    <mergeCell ref="E264:E265"/>
    <mergeCell ref="J264:J265"/>
    <mergeCell ref="K264:K265"/>
    <mergeCell ref="L264:L265"/>
    <mergeCell ref="M264:M265"/>
    <mergeCell ref="A266:A267"/>
    <mergeCell ref="B266:B267"/>
    <mergeCell ref="C266:C267"/>
    <mergeCell ref="D266:D267"/>
    <mergeCell ref="E266:E267"/>
    <mergeCell ref="J266:J267"/>
    <mergeCell ref="K266:K267"/>
    <mergeCell ref="L266:L267"/>
    <mergeCell ref="M266:M267"/>
    <mergeCell ref="A257:A258"/>
    <mergeCell ref="B257:B258"/>
    <mergeCell ref="C257:C258"/>
    <mergeCell ref="D257:D258"/>
    <mergeCell ref="E257:E258"/>
    <mergeCell ref="J257:J258"/>
    <mergeCell ref="K257:K258"/>
    <mergeCell ref="L257:L258"/>
    <mergeCell ref="M257:M258"/>
    <mergeCell ref="A259:M259"/>
    <mergeCell ref="A260:A263"/>
    <mergeCell ref="B260:B263"/>
    <mergeCell ref="C260:C263"/>
    <mergeCell ref="D260:D263"/>
    <mergeCell ref="E260:E263"/>
    <mergeCell ref="J260:J263"/>
    <mergeCell ref="K260:K263"/>
    <mergeCell ref="L260:L263"/>
    <mergeCell ref="M260:M263"/>
    <mergeCell ref="A253:A254"/>
    <mergeCell ref="B253:B254"/>
    <mergeCell ref="C253:C254"/>
    <mergeCell ref="D253:D254"/>
    <mergeCell ref="E253:E254"/>
    <mergeCell ref="J253:J254"/>
    <mergeCell ref="K253:K254"/>
    <mergeCell ref="L253:L254"/>
    <mergeCell ref="M253:M254"/>
    <mergeCell ref="A255:A256"/>
    <mergeCell ref="B255:B256"/>
    <mergeCell ref="C255:C256"/>
    <mergeCell ref="D255:D256"/>
    <mergeCell ref="E255:E256"/>
    <mergeCell ref="J255:J256"/>
    <mergeCell ref="K255:K256"/>
    <mergeCell ref="L255:L256"/>
    <mergeCell ref="M255:M256"/>
    <mergeCell ref="A249:A250"/>
    <mergeCell ref="B249:B250"/>
    <mergeCell ref="C249:C250"/>
    <mergeCell ref="D249:D250"/>
    <mergeCell ref="E249:E250"/>
    <mergeCell ref="J249:J250"/>
    <mergeCell ref="K249:K250"/>
    <mergeCell ref="L249:L250"/>
    <mergeCell ref="M249:M250"/>
    <mergeCell ref="A251:A252"/>
    <mergeCell ref="B251:B252"/>
    <mergeCell ref="C251:C252"/>
    <mergeCell ref="D251:D252"/>
    <mergeCell ref="E251:E252"/>
    <mergeCell ref="J251:J252"/>
    <mergeCell ref="K251:K252"/>
    <mergeCell ref="L251:L252"/>
    <mergeCell ref="M251:M252"/>
    <mergeCell ref="A245:A246"/>
    <mergeCell ref="B245:B246"/>
    <mergeCell ref="C245:C246"/>
    <mergeCell ref="D245:D246"/>
    <mergeCell ref="E245:E246"/>
    <mergeCell ref="J245:J246"/>
    <mergeCell ref="K245:K246"/>
    <mergeCell ref="L245:L246"/>
    <mergeCell ref="M245:M246"/>
    <mergeCell ref="A247:A248"/>
    <mergeCell ref="B247:B248"/>
    <mergeCell ref="C247:C248"/>
    <mergeCell ref="D247:D248"/>
    <mergeCell ref="E247:E248"/>
    <mergeCell ref="J247:J248"/>
    <mergeCell ref="K247:K248"/>
    <mergeCell ref="L247:L248"/>
    <mergeCell ref="M247:M248"/>
    <mergeCell ref="A241:A242"/>
    <mergeCell ref="B241:B242"/>
    <mergeCell ref="C241:C242"/>
    <mergeCell ref="D241:D242"/>
    <mergeCell ref="E241:E242"/>
    <mergeCell ref="J241:J242"/>
    <mergeCell ref="K241:K242"/>
    <mergeCell ref="L241:L242"/>
    <mergeCell ref="M241:M242"/>
    <mergeCell ref="A243:A244"/>
    <mergeCell ref="B243:B244"/>
    <mergeCell ref="C243:C244"/>
    <mergeCell ref="D243:D244"/>
    <mergeCell ref="E243:E244"/>
    <mergeCell ref="J243:J244"/>
    <mergeCell ref="K243:K244"/>
    <mergeCell ref="L243:L244"/>
    <mergeCell ref="M243:M244"/>
    <mergeCell ref="A237:A238"/>
    <mergeCell ref="B237:B238"/>
    <mergeCell ref="C237:C238"/>
    <mergeCell ref="D237:D238"/>
    <mergeCell ref="E237:E238"/>
    <mergeCell ref="J237:J238"/>
    <mergeCell ref="K237:K238"/>
    <mergeCell ref="L237:L238"/>
    <mergeCell ref="M237:M238"/>
    <mergeCell ref="A239:A240"/>
    <mergeCell ref="B239:B240"/>
    <mergeCell ref="C239:C240"/>
    <mergeCell ref="D239:D240"/>
    <mergeCell ref="E239:E240"/>
    <mergeCell ref="J239:J240"/>
    <mergeCell ref="K239:K240"/>
    <mergeCell ref="L239:L240"/>
    <mergeCell ref="M239:M240"/>
    <mergeCell ref="A233:A234"/>
    <mergeCell ref="B233:B234"/>
    <mergeCell ref="C233:C234"/>
    <mergeCell ref="D233:D234"/>
    <mergeCell ref="E233:E234"/>
    <mergeCell ref="J233:J234"/>
    <mergeCell ref="K233:K234"/>
    <mergeCell ref="L233:L234"/>
    <mergeCell ref="M233:M234"/>
    <mergeCell ref="A235:A236"/>
    <mergeCell ref="B235:B236"/>
    <mergeCell ref="C235:C236"/>
    <mergeCell ref="D235:D236"/>
    <mergeCell ref="E235:E236"/>
    <mergeCell ref="J235:J236"/>
    <mergeCell ref="K235:K236"/>
    <mergeCell ref="L235:L236"/>
    <mergeCell ref="M235:M236"/>
    <mergeCell ref="A229:A230"/>
    <mergeCell ref="B229:B230"/>
    <mergeCell ref="C229:C230"/>
    <mergeCell ref="D229:D230"/>
    <mergeCell ref="E229:E230"/>
    <mergeCell ref="J229:J230"/>
    <mergeCell ref="K229:K230"/>
    <mergeCell ref="L229:L230"/>
    <mergeCell ref="M229:M230"/>
    <mergeCell ref="A231:A232"/>
    <mergeCell ref="B231:B232"/>
    <mergeCell ref="C231:C232"/>
    <mergeCell ref="D231:D232"/>
    <mergeCell ref="E231:E232"/>
    <mergeCell ref="J231:J232"/>
    <mergeCell ref="K231:K232"/>
    <mergeCell ref="L231:L232"/>
    <mergeCell ref="M231:M232"/>
    <mergeCell ref="A225:A226"/>
    <mergeCell ref="B225:B226"/>
    <mergeCell ref="C225:C226"/>
    <mergeCell ref="D225:D226"/>
    <mergeCell ref="E225:E226"/>
    <mergeCell ref="J225:J226"/>
    <mergeCell ref="K225:K226"/>
    <mergeCell ref="L225:L226"/>
    <mergeCell ref="M225:M226"/>
    <mergeCell ref="A227:A228"/>
    <mergeCell ref="B227:B228"/>
    <mergeCell ref="C227:C228"/>
    <mergeCell ref="D227:D228"/>
    <mergeCell ref="E227:E228"/>
    <mergeCell ref="J227:J228"/>
    <mergeCell ref="K227:K228"/>
    <mergeCell ref="L227:L228"/>
    <mergeCell ref="M227:M228"/>
    <mergeCell ref="A221:A222"/>
    <mergeCell ref="B221:B222"/>
    <mergeCell ref="C221:C222"/>
    <mergeCell ref="D221:D222"/>
    <mergeCell ref="E221:E222"/>
    <mergeCell ref="J221:J222"/>
    <mergeCell ref="K221:K222"/>
    <mergeCell ref="L221:L222"/>
    <mergeCell ref="M221:M222"/>
    <mergeCell ref="A223:A224"/>
    <mergeCell ref="B223:B224"/>
    <mergeCell ref="C223:C224"/>
    <mergeCell ref="D223:D224"/>
    <mergeCell ref="E223:E224"/>
    <mergeCell ref="J223:J224"/>
    <mergeCell ref="K223:K224"/>
    <mergeCell ref="L223:L224"/>
    <mergeCell ref="M223:M224"/>
    <mergeCell ref="A216:A218"/>
    <mergeCell ref="B216:B218"/>
    <mergeCell ref="C216:C218"/>
    <mergeCell ref="D216:D218"/>
    <mergeCell ref="E216:E218"/>
    <mergeCell ref="J216:J218"/>
    <mergeCell ref="K216:K218"/>
    <mergeCell ref="L216:L218"/>
    <mergeCell ref="M216:M218"/>
    <mergeCell ref="A219:A220"/>
    <mergeCell ref="B219:B220"/>
    <mergeCell ref="C219:C220"/>
    <mergeCell ref="D219:D220"/>
    <mergeCell ref="E219:E220"/>
    <mergeCell ref="J219:J220"/>
    <mergeCell ref="K219:K220"/>
    <mergeCell ref="L219:L220"/>
    <mergeCell ref="M219:M220"/>
    <mergeCell ref="A212:A213"/>
    <mergeCell ref="B212:B213"/>
    <mergeCell ref="C212:C213"/>
    <mergeCell ref="D212:D213"/>
    <mergeCell ref="E212:E213"/>
    <mergeCell ref="J212:J213"/>
    <mergeCell ref="K212:K213"/>
    <mergeCell ref="L212:L213"/>
    <mergeCell ref="M212:M213"/>
    <mergeCell ref="A214:A215"/>
    <mergeCell ref="B214:B215"/>
    <mergeCell ref="C214:C215"/>
    <mergeCell ref="D214:D215"/>
    <mergeCell ref="E214:E215"/>
    <mergeCell ref="J214:J215"/>
    <mergeCell ref="K214:K215"/>
    <mergeCell ref="L214:L215"/>
    <mergeCell ref="M214:M215"/>
    <mergeCell ref="A208:A209"/>
    <mergeCell ref="B208:B209"/>
    <mergeCell ref="C208:C209"/>
    <mergeCell ref="D208:D209"/>
    <mergeCell ref="E208:E209"/>
    <mergeCell ref="J208:J209"/>
    <mergeCell ref="K208:K209"/>
    <mergeCell ref="L208:L209"/>
    <mergeCell ref="M208:M209"/>
    <mergeCell ref="A210:A211"/>
    <mergeCell ref="B210:B211"/>
    <mergeCell ref="C210:C211"/>
    <mergeCell ref="D210:D211"/>
    <mergeCell ref="E210:E211"/>
    <mergeCell ref="J210:J211"/>
    <mergeCell ref="K210:K211"/>
    <mergeCell ref="L210:L211"/>
    <mergeCell ref="M210:M211"/>
    <mergeCell ref="A204:A205"/>
    <mergeCell ref="B204:B205"/>
    <mergeCell ref="C204:C205"/>
    <mergeCell ref="D204:D205"/>
    <mergeCell ref="E204:E205"/>
    <mergeCell ref="J204:J205"/>
    <mergeCell ref="K204:K205"/>
    <mergeCell ref="L204:L205"/>
    <mergeCell ref="M204:M205"/>
    <mergeCell ref="A206:A207"/>
    <mergeCell ref="B206:B207"/>
    <mergeCell ref="C206:C207"/>
    <mergeCell ref="D206:D207"/>
    <mergeCell ref="E206:E207"/>
    <mergeCell ref="J206:J207"/>
    <mergeCell ref="K206:K207"/>
    <mergeCell ref="L206:L207"/>
    <mergeCell ref="M206:M207"/>
    <mergeCell ref="A197:A198"/>
    <mergeCell ref="B197:B198"/>
    <mergeCell ref="C197:C198"/>
    <mergeCell ref="D197:D198"/>
    <mergeCell ref="E197:E198"/>
    <mergeCell ref="J197:J198"/>
    <mergeCell ref="K197:K198"/>
    <mergeCell ref="L197:L198"/>
    <mergeCell ref="M197:M198"/>
    <mergeCell ref="A202:A203"/>
    <mergeCell ref="B202:B203"/>
    <mergeCell ref="C202:C203"/>
    <mergeCell ref="D202:D203"/>
    <mergeCell ref="E202:E203"/>
    <mergeCell ref="J202:J203"/>
    <mergeCell ref="K202:K203"/>
    <mergeCell ref="L202:L203"/>
    <mergeCell ref="M202:M203"/>
    <mergeCell ref="A193:A194"/>
    <mergeCell ref="B193:B194"/>
    <mergeCell ref="C193:C194"/>
    <mergeCell ref="D193:D194"/>
    <mergeCell ref="E193:E194"/>
    <mergeCell ref="J193:J194"/>
    <mergeCell ref="K193:K194"/>
    <mergeCell ref="L193:L194"/>
    <mergeCell ref="M193:M194"/>
    <mergeCell ref="A195:A196"/>
    <mergeCell ref="B195:B196"/>
    <mergeCell ref="C195:C196"/>
    <mergeCell ref="D195:D196"/>
    <mergeCell ref="E195:E196"/>
    <mergeCell ref="J195:J196"/>
    <mergeCell ref="K195:K196"/>
    <mergeCell ref="L195:L196"/>
    <mergeCell ref="M195:M196"/>
    <mergeCell ref="A189:A190"/>
    <mergeCell ref="B189:B190"/>
    <mergeCell ref="C189:C190"/>
    <mergeCell ref="D189:D190"/>
    <mergeCell ref="E189:E190"/>
    <mergeCell ref="J189:J190"/>
    <mergeCell ref="K189:K190"/>
    <mergeCell ref="L189:L190"/>
    <mergeCell ref="M189:M190"/>
    <mergeCell ref="A191:A192"/>
    <mergeCell ref="B191:B192"/>
    <mergeCell ref="C191:C192"/>
    <mergeCell ref="D191:D192"/>
    <mergeCell ref="E191:E192"/>
    <mergeCell ref="J191:J192"/>
    <mergeCell ref="K191:K192"/>
    <mergeCell ref="L191:L192"/>
    <mergeCell ref="M191:M192"/>
    <mergeCell ref="A184:A186"/>
    <mergeCell ref="B184:B186"/>
    <mergeCell ref="C184:C186"/>
    <mergeCell ref="D184:D186"/>
    <mergeCell ref="E184:E186"/>
    <mergeCell ref="J184:J186"/>
    <mergeCell ref="K184:K186"/>
    <mergeCell ref="L184:L186"/>
    <mergeCell ref="M184:M186"/>
    <mergeCell ref="A187:A188"/>
    <mergeCell ref="B187:B188"/>
    <mergeCell ref="C187:C188"/>
    <mergeCell ref="D187:D188"/>
    <mergeCell ref="E187:E188"/>
    <mergeCell ref="J187:J188"/>
    <mergeCell ref="K187:K188"/>
    <mergeCell ref="L187:L188"/>
    <mergeCell ref="M187:M188"/>
    <mergeCell ref="A180:A181"/>
    <mergeCell ref="B180:B181"/>
    <mergeCell ref="C180:C181"/>
    <mergeCell ref="D180:D181"/>
    <mergeCell ref="E180:E181"/>
    <mergeCell ref="J180:J181"/>
    <mergeCell ref="K180:K181"/>
    <mergeCell ref="L180:L181"/>
    <mergeCell ref="M180:M181"/>
    <mergeCell ref="A182:A183"/>
    <mergeCell ref="B182:B183"/>
    <mergeCell ref="C182:C183"/>
    <mergeCell ref="D182:D183"/>
    <mergeCell ref="E182:E183"/>
    <mergeCell ref="J182:J183"/>
    <mergeCell ref="K182:K183"/>
    <mergeCell ref="L182:L183"/>
    <mergeCell ref="M182:M183"/>
    <mergeCell ref="A175:A177"/>
    <mergeCell ref="B175:B177"/>
    <mergeCell ref="C175:C177"/>
    <mergeCell ref="D175:D177"/>
    <mergeCell ref="E175:E177"/>
    <mergeCell ref="J175:J177"/>
    <mergeCell ref="K175:K177"/>
    <mergeCell ref="L175:L177"/>
    <mergeCell ref="M175:M177"/>
    <mergeCell ref="A178:A179"/>
    <mergeCell ref="B178:B179"/>
    <mergeCell ref="C178:C179"/>
    <mergeCell ref="D178:D179"/>
    <mergeCell ref="E178:E179"/>
    <mergeCell ref="J178:J179"/>
    <mergeCell ref="K178:K179"/>
    <mergeCell ref="L178:L179"/>
    <mergeCell ref="M178:M179"/>
    <mergeCell ref="A171:A172"/>
    <mergeCell ref="B171:B172"/>
    <mergeCell ref="C171:C172"/>
    <mergeCell ref="D171:D172"/>
    <mergeCell ref="E171:E172"/>
    <mergeCell ref="J171:J172"/>
    <mergeCell ref="K171:K172"/>
    <mergeCell ref="L171:L172"/>
    <mergeCell ref="M171:M172"/>
    <mergeCell ref="A173:A174"/>
    <mergeCell ref="B173:B174"/>
    <mergeCell ref="C173:C174"/>
    <mergeCell ref="D173:D174"/>
    <mergeCell ref="E173:E174"/>
    <mergeCell ref="J173:J174"/>
    <mergeCell ref="K173:K174"/>
    <mergeCell ref="L173:L174"/>
    <mergeCell ref="M173:M174"/>
    <mergeCell ref="A165:M165"/>
    <mergeCell ref="A166:A168"/>
    <mergeCell ref="B166:B168"/>
    <mergeCell ref="C166:C168"/>
    <mergeCell ref="D166:D168"/>
    <mergeCell ref="E166:E168"/>
    <mergeCell ref="J166:J168"/>
    <mergeCell ref="K166:K168"/>
    <mergeCell ref="L166:L168"/>
    <mergeCell ref="M166:M168"/>
    <mergeCell ref="A169:A170"/>
    <mergeCell ref="B169:B170"/>
    <mergeCell ref="C169:C170"/>
    <mergeCell ref="D169:D170"/>
    <mergeCell ref="E169:E170"/>
    <mergeCell ref="J169:J170"/>
    <mergeCell ref="K169:K170"/>
    <mergeCell ref="L169:L170"/>
    <mergeCell ref="M169:M170"/>
    <mergeCell ref="A161:A162"/>
    <mergeCell ref="B161:B162"/>
    <mergeCell ref="C161:C162"/>
    <mergeCell ref="D161:D162"/>
    <mergeCell ref="E161:E162"/>
    <mergeCell ref="J161:J162"/>
    <mergeCell ref="K161:K162"/>
    <mergeCell ref="L161:L162"/>
    <mergeCell ref="M161:M162"/>
    <mergeCell ref="A163:A164"/>
    <mergeCell ref="B163:B164"/>
    <mergeCell ref="C163:C164"/>
    <mergeCell ref="D163:D164"/>
    <mergeCell ref="E163:E164"/>
    <mergeCell ref="J163:J164"/>
    <mergeCell ref="K163:K164"/>
    <mergeCell ref="L163:L164"/>
    <mergeCell ref="M163:M164"/>
    <mergeCell ref="A157:A158"/>
    <mergeCell ref="B157:B158"/>
    <mergeCell ref="C157:C158"/>
    <mergeCell ref="D157:D158"/>
    <mergeCell ref="E157:E158"/>
    <mergeCell ref="J157:J158"/>
    <mergeCell ref="K157:K158"/>
    <mergeCell ref="L157:L158"/>
    <mergeCell ref="M157:M158"/>
    <mergeCell ref="A159:A160"/>
    <mergeCell ref="B159:B160"/>
    <mergeCell ref="C159:C160"/>
    <mergeCell ref="D159:D160"/>
    <mergeCell ref="E159:E160"/>
    <mergeCell ref="J159:J160"/>
    <mergeCell ref="K159:K160"/>
    <mergeCell ref="L159:L160"/>
    <mergeCell ref="M159:M160"/>
    <mergeCell ref="A151:A153"/>
    <mergeCell ref="B151:B153"/>
    <mergeCell ref="C151:C153"/>
    <mergeCell ref="D151:D153"/>
    <mergeCell ref="E151:E153"/>
    <mergeCell ref="J151:J153"/>
    <mergeCell ref="K151:K153"/>
    <mergeCell ref="L151:L153"/>
    <mergeCell ref="M151:M153"/>
    <mergeCell ref="A154:A156"/>
    <mergeCell ref="B154:B156"/>
    <mergeCell ref="C154:C156"/>
    <mergeCell ref="D154:D156"/>
    <mergeCell ref="E154:E156"/>
    <mergeCell ref="J154:J156"/>
    <mergeCell ref="K154:K156"/>
    <mergeCell ref="L154:L156"/>
    <mergeCell ref="M154:M156"/>
    <mergeCell ref="A146:A147"/>
    <mergeCell ref="B146:B147"/>
    <mergeCell ref="C146:C147"/>
    <mergeCell ref="D146:D147"/>
    <mergeCell ref="E146:E147"/>
    <mergeCell ref="J146:J147"/>
    <mergeCell ref="K146:K147"/>
    <mergeCell ref="L146:L147"/>
    <mergeCell ref="M146:M147"/>
    <mergeCell ref="A148:A150"/>
    <mergeCell ref="B148:B150"/>
    <mergeCell ref="C148:C150"/>
    <mergeCell ref="D148:D150"/>
    <mergeCell ref="E148:E150"/>
    <mergeCell ref="J148:J150"/>
    <mergeCell ref="K148:K150"/>
    <mergeCell ref="L148:L150"/>
    <mergeCell ref="M148:M150"/>
    <mergeCell ref="A142:A143"/>
    <mergeCell ref="B142:B143"/>
    <mergeCell ref="C142:C143"/>
    <mergeCell ref="D142:D143"/>
    <mergeCell ref="E142:E143"/>
    <mergeCell ref="J142:J143"/>
    <mergeCell ref="K142:K143"/>
    <mergeCell ref="L142:L143"/>
    <mergeCell ref="M142:M143"/>
    <mergeCell ref="A144:A145"/>
    <mergeCell ref="B144:B145"/>
    <mergeCell ref="C144:C145"/>
    <mergeCell ref="D144:D145"/>
    <mergeCell ref="E144:E145"/>
    <mergeCell ref="J144:J145"/>
    <mergeCell ref="K144:K145"/>
    <mergeCell ref="L144:L145"/>
    <mergeCell ref="M144:M145"/>
    <mergeCell ref="A138:A139"/>
    <mergeCell ref="B138:B139"/>
    <mergeCell ref="C138:C139"/>
    <mergeCell ref="D138:D139"/>
    <mergeCell ref="E138:E139"/>
    <mergeCell ref="J138:J139"/>
    <mergeCell ref="K138:K139"/>
    <mergeCell ref="L138:L139"/>
    <mergeCell ref="M138:M139"/>
    <mergeCell ref="A140:A141"/>
    <mergeCell ref="B140:B141"/>
    <mergeCell ref="C140:C141"/>
    <mergeCell ref="D140:D141"/>
    <mergeCell ref="E140:E141"/>
    <mergeCell ref="J140:J141"/>
    <mergeCell ref="K140:K141"/>
    <mergeCell ref="L140:L141"/>
    <mergeCell ref="M140:M141"/>
    <mergeCell ref="A131:M131"/>
    <mergeCell ref="A132:A135"/>
    <mergeCell ref="B132:B135"/>
    <mergeCell ref="C132:C135"/>
    <mergeCell ref="D132:D135"/>
    <mergeCell ref="E132:E135"/>
    <mergeCell ref="J132:J135"/>
    <mergeCell ref="K132:K135"/>
    <mergeCell ref="L132:L135"/>
    <mergeCell ref="M132:M135"/>
    <mergeCell ref="A136:A137"/>
    <mergeCell ref="B136:B137"/>
    <mergeCell ref="C136:C137"/>
    <mergeCell ref="D136:D137"/>
    <mergeCell ref="E136:E137"/>
    <mergeCell ref="J136:J137"/>
    <mergeCell ref="K136:K137"/>
    <mergeCell ref="L136:L137"/>
    <mergeCell ref="M136:M137"/>
    <mergeCell ref="A127:A128"/>
    <mergeCell ref="B127:B128"/>
    <mergeCell ref="C127:C128"/>
    <mergeCell ref="D127:D128"/>
    <mergeCell ref="E127:E128"/>
    <mergeCell ref="J127:J128"/>
    <mergeCell ref="K127:K128"/>
    <mergeCell ref="L127:L128"/>
    <mergeCell ref="M127:M128"/>
    <mergeCell ref="A129:A130"/>
    <mergeCell ref="B129:B130"/>
    <mergeCell ref="C129:C130"/>
    <mergeCell ref="D129:D130"/>
    <mergeCell ref="E129:E130"/>
    <mergeCell ref="J129:J130"/>
    <mergeCell ref="K129:K130"/>
    <mergeCell ref="L129:L130"/>
    <mergeCell ref="M129:M130"/>
    <mergeCell ref="A121:A123"/>
    <mergeCell ref="B121:B123"/>
    <mergeCell ref="C121:C123"/>
    <mergeCell ref="D121:D123"/>
    <mergeCell ref="E121:E123"/>
    <mergeCell ref="J121:J123"/>
    <mergeCell ref="K121:K123"/>
    <mergeCell ref="L121:L123"/>
    <mergeCell ref="M121:M123"/>
    <mergeCell ref="A124:A126"/>
    <mergeCell ref="B124:B126"/>
    <mergeCell ref="C124:C126"/>
    <mergeCell ref="D124:D126"/>
    <mergeCell ref="E124:E126"/>
    <mergeCell ref="J124:J126"/>
    <mergeCell ref="K124:K126"/>
    <mergeCell ref="L124:L126"/>
    <mergeCell ref="M124:M126"/>
    <mergeCell ref="A115:A117"/>
    <mergeCell ref="B115:B117"/>
    <mergeCell ref="C115:C117"/>
    <mergeCell ref="D115:D117"/>
    <mergeCell ref="E115:E117"/>
    <mergeCell ref="J115:J117"/>
    <mergeCell ref="K115:K117"/>
    <mergeCell ref="L115:L117"/>
    <mergeCell ref="M115:M117"/>
    <mergeCell ref="A118:A120"/>
    <mergeCell ref="B118:B120"/>
    <mergeCell ref="C118:C120"/>
    <mergeCell ref="D118:D120"/>
    <mergeCell ref="E118:E120"/>
    <mergeCell ref="J118:J120"/>
    <mergeCell ref="K118:K120"/>
    <mergeCell ref="L118:L120"/>
    <mergeCell ref="M118:M120"/>
    <mergeCell ref="A109:A110"/>
    <mergeCell ref="B109:B110"/>
    <mergeCell ref="C109:C110"/>
    <mergeCell ref="D109:D110"/>
    <mergeCell ref="E109:E110"/>
    <mergeCell ref="J109:J110"/>
    <mergeCell ref="K109:K110"/>
    <mergeCell ref="L109:L110"/>
    <mergeCell ref="M109:M110"/>
    <mergeCell ref="A111:M111"/>
    <mergeCell ref="A112:A114"/>
    <mergeCell ref="B112:B114"/>
    <mergeCell ref="C112:C114"/>
    <mergeCell ref="D112:D114"/>
    <mergeCell ref="E112:E114"/>
    <mergeCell ref="J112:J114"/>
    <mergeCell ref="K112:K114"/>
    <mergeCell ref="L112:L114"/>
    <mergeCell ref="M112:M114"/>
    <mergeCell ref="A105:A106"/>
    <mergeCell ref="B105:B106"/>
    <mergeCell ref="C105:C106"/>
    <mergeCell ref="D105:D106"/>
    <mergeCell ref="E105:E106"/>
    <mergeCell ref="J105:J106"/>
    <mergeCell ref="K105:K106"/>
    <mergeCell ref="L105:L106"/>
    <mergeCell ref="M105:M106"/>
    <mergeCell ref="A107:A108"/>
    <mergeCell ref="B107:B108"/>
    <mergeCell ref="C107:C108"/>
    <mergeCell ref="D107:D108"/>
    <mergeCell ref="E107:E108"/>
    <mergeCell ref="J107:J108"/>
    <mergeCell ref="K107:K108"/>
    <mergeCell ref="L107:L108"/>
    <mergeCell ref="M107:M108"/>
    <mergeCell ref="A101:A102"/>
    <mergeCell ref="B101:B102"/>
    <mergeCell ref="C101:C102"/>
    <mergeCell ref="D101:D102"/>
    <mergeCell ref="E101:E102"/>
    <mergeCell ref="J101:J102"/>
    <mergeCell ref="K101:K102"/>
    <mergeCell ref="L101:L102"/>
    <mergeCell ref="M101:M102"/>
    <mergeCell ref="A103:A104"/>
    <mergeCell ref="B103:B104"/>
    <mergeCell ref="C103:C104"/>
    <mergeCell ref="D103:D104"/>
    <mergeCell ref="E103:E104"/>
    <mergeCell ref="J103:J104"/>
    <mergeCell ref="K103:K104"/>
    <mergeCell ref="L103:L104"/>
    <mergeCell ref="M103:M104"/>
    <mergeCell ref="A97:A98"/>
    <mergeCell ref="B97:B98"/>
    <mergeCell ref="C97:C98"/>
    <mergeCell ref="D97:D98"/>
    <mergeCell ref="E97:E98"/>
    <mergeCell ref="J97:J98"/>
    <mergeCell ref="K97:K98"/>
    <mergeCell ref="L97:L98"/>
    <mergeCell ref="M97:M98"/>
    <mergeCell ref="A99:A100"/>
    <mergeCell ref="B99:B100"/>
    <mergeCell ref="C99:C100"/>
    <mergeCell ref="D99:D100"/>
    <mergeCell ref="E99:E100"/>
    <mergeCell ref="J99:J100"/>
    <mergeCell ref="K99:K100"/>
    <mergeCell ref="L99:L100"/>
    <mergeCell ref="M99:M100"/>
    <mergeCell ref="A92:A94"/>
    <mergeCell ref="B92:B94"/>
    <mergeCell ref="C92:C94"/>
    <mergeCell ref="D92:D94"/>
    <mergeCell ref="E92:E94"/>
    <mergeCell ref="J92:J94"/>
    <mergeCell ref="K92:K94"/>
    <mergeCell ref="L92:L94"/>
    <mergeCell ref="M92:M94"/>
    <mergeCell ref="A95:A96"/>
    <mergeCell ref="B95:B96"/>
    <mergeCell ref="C95:C96"/>
    <mergeCell ref="D95:D96"/>
    <mergeCell ref="E95:E96"/>
    <mergeCell ref="J95:J96"/>
    <mergeCell ref="K95:K96"/>
    <mergeCell ref="L95:L96"/>
    <mergeCell ref="M95:M96"/>
    <mergeCell ref="A88:A89"/>
    <mergeCell ref="B88:B89"/>
    <mergeCell ref="C88:C89"/>
    <mergeCell ref="D88:D89"/>
    <mergeCell ref="E88:E89"/>
    <mergeCell ref="J88:J89"/>
    <mergeCell ref="K88:K89"/>
    <mergeCell ref="L88:L89"/>
    <mergeCell ref="M88:M89"/>
    <mergeCell ref="A90:A91"/>
    <mergeCell ref="B90:B91"/>
    <mergeCell ref="C90:C91"/>
    <mergeCell ref="D90:D91"/>
    <mergeCell ref="E90:E91"/>
    <mergeCell ref="J90:J91"/>
    <mergeCell ref="K90:K91"/>
    <mergeCell ref="L90:L91"/>
    <mergeCell ref="M90:M91"/>
    <mergeCell ref="A84:A85"/>
    <mergeCell ref="B84:B85"/>
    <mergeCell ref="C84:C85"/>
    <mergeCell ref="D84:D85"/>
    <mergeCell ref="E84:E85"/>
    <mergeCell ref="J84:J85"/>
    <mergeCell ref="K84:K85"/>
    <mergeCell ref="L84:L85"/>
    <mergeCell ref="M84:M85"/>
    <mergeCell ref="A86:A87"/>
    <mergeCell ref="B86:B87"/>
    <mergeCell ref="C86:C87"/>
    <mergeCell ref="D86:D87"/>
    <mergeCell ref="E86:E87"/>
    <mergeCell ref="J86:J87"/>
    <mergeCell ref="K86:K87"/>
    <mergeCell ref="L86:L87"/>
    <mergeCell ref="M86:M87"/>
    <mergeCell ref="A77:M77"/>
    <mergeCell ref="A78:A81"/>
    <mergeCell ref="B78:B81"/>
    <mergeCell ref="C78:C81"/>
    <mergeCell ref="D78:D81"/>
    <mergeCell ref="E78:E81"/>
    <mergeCell ref="J78:J81"/>
    <mergeCell ref="K78:K81"/>
    <mergeCell ref="L78:L81"/>
    <mergeCell ref="M78:M81"/>
    <mergeCell ref="A82:A83"/>
    <mergeCell ref="B82:B83"/>
    <mergeCell ref="C82:C83"/>
    <mergeCell ref="D82:D83"/>
    <mergeCell ref="E82:E83"/>
    <mergeCell ref="J82:J83"/>
    <mergeCell ref="K82:K83"/>
    <mergeCell ref="L82:L83"/>
    <mergeCell ref="M82:M83"/>
    <mergeCell ref="A73:A74"/>
    <mergeCell ref="B73:B74"/>
    <mergeCell ref="C73:C74"/>
    <mergeCell ref="D73:D74"/>
    <mergeCell ref="E73:E74"/>
    <mergeCell ref="J73:J74"/>
    <mergeCell ref="K73:K74"/>
    <mergeCell ref="L73:L74"/>
    <mergeCell ref="M73:M74"/>
    <mergeCell ref="A75:A76"/>
    <mergeCell ref="B75:B76"/>
    <mergeCell ref="C75:C76"/>
    <mergeCell ref="D75:D76"/>
    <mergeCell ref="E75:E76"/>
    <mergeCell ref="J75:J76"/>
    <mergeCell ref="K75:K76"/>
    <mergeCell ref="L75:L76"/>
    <mergeCell ref="M75:M76"/>
    <mergeCell ref="A68:A69"/>
    <mergeCell ref="B68:B69"/>
    <mergeCell ref="C68:C69"/>
    <mergeCell ref="D68:D69"/>
    <mergeCell ref="E68:E69"/>
    <mergeCell ref="J68:J69"/>
    <mergeCell ref="K68:K69"/>
    <mergeCell ref="L68:L69"/>
    <mergeCell ref="M68:M69"/>
    <mergeCell ref="A70:A72"/>
    <mergeCell ref="B70:B72"/>
    <mergeCell ref="C70:C72"/>
    <mergeCell ref="D70:D72"/>
    <mergeCell ref="E70:E72"/>
    <mergeCell ref="J70:J72"/>
    <mergeCell ref="K70:K72"/>
    <mergeCell ref="L70:L72"/>
    <mergeCell ref="M70:M72"/>
    <mergeCell ref="A62:A63"/>
    <mergeCell ref="B62:B63"/>
    <mergeCell ref="C62:C63"/>
    <mergeCell ref="D62:D63"/>
    <mergeCell ref="E62:E63"/>
    <mergeCell ref="J62:J63"/>
    <mergeCell ref="K62:K63"/>
    <mergeCell ref="L62:L63"/>
    <mergeCell ref="M62:M63"/>
    <mergeCell ref="A64:A67"/>
    <mergeCell ref="B64:B67"/>
    <mergeCell ref="C64:C67"/>
    <mergeCell ref="D64:D67"/>
    <mergeCell ref="E64:E67"/>
    <mergeCell ref="J64:J67"/>
    <mergeCell ref="K64:K67"/>
    <mergeCell ref="L64:L67"/>
    <mergeCell ref="M64:M67"/>
    <mergeCell ref="A56:A58"/>
    <mergeCell ref="B56:B58"/>
    <mergeCell ref="C56:C58"/>
    <mergeCell ref="D56:D58"/>
    <mergeCell ref="E56:E58"/>
    <mergeCell ref="J56:J58"/>
    <mergeCell ref="K56:K58"/>
    <mergeCell ref="L56:L58"/>
    <mergeCell ref="M56:M58"/>
    <mergeCell ref="A59:A61"/>
    <mergeCell ref="B59:B61"/>
    <mergeCell ref="C59:C61"/>
    <mergeCell ref="D59:D61"/>
    <mergeCell ref="E59:E61"/>
    <mergeCell ref="J59:J61"/>
    <mergeCell ref="K59:K61"/>
    <mergeCell ref="L59:L61"/>
    <mergeCell ref="M59:M61"/>
    <mergeCell ref="A49:A50"/>
    <mergeCell ref="B49:B50"/>
    <mergeCell ref="C49:C50"/>
    <mergeCell ref="D49:D50"/>
    <mergeCell ref="E49:E50"/>
    <mergeCell ref="J49:J50"/>
    <mergeCell ref="K49:K50"/>
    <mergeCell ref="L49:L50"/>
    <mergeCell ref="M49:M50"/>
    <mergeCell ref="A51:M51"/>
    <mergeCell ref="A52:A55"/>
    <mergeCell ref="B52:B55"/>
    <mergeCell ref="C52:C55"/>
    <mergeCell ref="D52:D55"/>
    <mergeCell ref="E52:E55"/>
    <mergeCell ref="J52:J55"/>
    <mergeCell ref="K52:K55"/>
    <mergeCell ref="L52:L55"/>
    <mergeCell ref="M52:M55"/>
    <mergeCell ref="A45:A46"/>
    <mergeCell ref="B45:B46"/>
    <mergeCell ref="C45:C46"/>
    <mergeCell ref="D45:D46"/>
    <mergeCell ref="E45:E46"/>
    <mergeCell ref="J45:J46"/>
    <mergeCell ref="K45:K46"/>
    <mergeCell ref="L45:L46"/>
    <mergeCell ref="M45:M46"/>
    <mergeCell ref="A47:A48"/>
    <mergeCell ref="B47:B48"/>
    <mergeCell ref="C47:C48"/>
    <mergeCell ref="D47:D48"/>
    <mergeCell ref="E47:E48"/>
    <mergeCell ref="J47:J48"/>
    <mergeCell ref="K47:K48"/>
    <mergeCell ref="L47:L48"/>
    <mergeCell ref="M47:M48"/>
    <mergeCell ref="A40:M40"/>
    <mergeCell ref="A41:A42"/>
    <mergeCell ref="B41:B42"/>
    <mergeCell ref="C41:C42"/>
    <mergeCell ref="D41:D42"/>
    <mergeCell ref="E41:E42"/>
    <mergeCell ref="J41:J42"/>
    <mergeCell ref="K41:K42"/>
    <mergeCell ref="L41:L42"/>
    <mergeCell ref="M41:M42"/>
    <mergeCell ref="A43:A44"/>
    <mergeCell ref="B43:B44"/>
    <mergeCell ref="C43:C44"/>
    <mergeCell ref="D43:D44"/>
    <mergeCell ref="E43:E44"/>
    <mergeCell ref="J43:J44"/>
    <mergeCell ref="K43:K44"/>
    <mergeCell ref="L43:L44"/>
    <mergeCell ref="M43:M44"/>
    <mergeCell ref="A35:A36"/>
    <mergeCell ref="B35:B36"/>
    <mergeCell ref="C35:C36"/>
    <mergeCell ref="D35:D36"/>
    <mergeCell ref="E35:E36"/>
    <mergeCell ref="J35:J36"/>
    <mergeCell ref="K35:K36"/>
    <mergeCell ref="L35:L36"/>
    <mergeCell ref="M35:M36"/>
    <mergeCell ref="A37:A39"/>
    <mergeCell ref="B37:B39"/>
    <mergeCell ref="C37:C39"/>
    <mergeCell ref="D37:D39"/>
    <mergeCell ref="E37:E39"/>
    <mergeCell ref="J37:J39"/>
    <mergeCell ref="K37:K39"/>
    <mergeCell ref="L37:L39"/>
    <mergeCell ref="M37:M39"/>
    <mergeCell ref="A30:A31"/>
    <mergeCell ref="B30:B31"/>
    <mergeCell ref="C30:C31"/>
    <mergeCell ref="D30:D31"/>
    <mergeCell ref="E30:E31"/>
    <mergeCell ref="J30:J31"/>
    <mergeCell ref="K30:K31"/>
    <mergeCell ref="L30:L31"/>
    <mergeCell ref="M30:M31"/>
    <mergeCell ref="A32:A34"/>
    <mergeCell ref="B32:B34"/>
    <mergeCell ref="C32:C34"/>
    <mergeCell ref="D32:D34"/>
    <mergeCell ref="E32:E34"/>
    <mergeCell ref="J32:J34"/>
    <mergeCell ref="K32:K34"/>
    <mergeCell ref="L32:L34"/>
    <mergeCell ref="M32:M34"/>
    <mergeCell ref="A24:A26"/>
    <mergeCell ref="B24:B26"/>
    <mergeCell ref="C24:C26"/>
    <mergeCell ref="D24:D26"/>
    <mergeCell ref="E24:E26"/>
    <mergeCell ref="J24:J26"/>
    <mergeCell ref="K24:K26"/>
    <mergeCell ref="L24:L26"/>
    <mergeCell ref="M24:M26"/>
    <mergeCell ref="A27:A29"/>
    <mergeCell ref="B27:B29"/>
    <mergeCell ref="C27:C29"/>
    <mergeCell ref="D27:D29"/>
    <mergeCell ref="E27:E29"/>
    <mergeCell ref="J27:J29"/>
    <mergeCell ref="K27:K29"/>
    <mergeCell ref="L27:L29"/>
    <mergeCell ref="M27:M29"/>
    <mergeCell ref="A17:A19"/>
    <mergeCell ref="B17:B19"/>
    <mergeCell ref="C17:C19"/>
    <mergeCell ref="D17:D19"/>
    <mergeCell ref="E17:E19"/>
    <mergeCell ref="J17:J19"/>
    <mergeCell ref="K17:K19"/>
    <mergeCell ref="L17:L19"/>
    <mergeCell ref="M17:M19"/>
    <mergeCell ref="A20:A23"/>
    <mergeCell ref="B20:B23"/>
    <mergeCell ref="C20:C23"/>
    <mergeCell ref="D20:D23"/>
    <mergeCell ref="E20:E23"/>
    <mergeCell ref="F20:F23"/>
    <mergeCell ref="J20:J23"/>
    <mergeCell ref="K20:K23"/>
    <mergeCell ref="L20:L23"/>
    <mergeCell ref="M20:M23"/>
    <mergeCell ref="A10:A13"/>
    <mergeCell ref="B10:B13"/>
    <mergeCell ref="C10:C13"/>
    <mergeCell ref="D10:D13"/>
    <mergeCell ref="E10:E13"/>
    <mergeCell ref="J10:J13"/>
    <mergeCell ref="K10:K13"/>
    <mergeCell ref="L10:L13"/>
    <mergeCell ref="M10:M13"/>
    <mergeCell ref="A14:A16"/>
    <mergeCell ref="B14:B16"/>
    <mergeCell ref="C14:C16"/>
    <mergeCell ref="D14:D16"/>
    <mergeCell ref="E14:E16"/>
    <mergeCell ref="J14:J16"/>
    <mergeCell ref="K14:K16"/>
    <mergeCell ref="L14:L16"/>
    <mergeCell ref="M14:M16"/>
    <mergeCell ref="A2:M2"/>
    <mergeCell ref="A3:A6"/>
    <mergeCell ref="B3:B6"/>
    <mergeCell ref="C3:C6"/>
    <mergeCell ref="D3:D6"/>
    <mergeCell ref="E3:E6"/>
    <mergeCell ref="J3:J6"/>
    <mergeCell ref="K3:K6"/>
    <mergeCell ref="L3:L6"/>
    <mergeCell ref="M3:M6"/>
    <mergeCell ref="A7:A9"/>
    <mergeCell ref="B7:B9"/>
    <mergeCell ref="C7:C9"/>
    <mergeCell ref="D7:D9"/>
    <mergeCell ref="E7:E9"/>
    <mergeCell ref="J7:J9"/>
    <mergeCell ref="K7:K9"/>
    <mergeCell ref="L7:L9"/>
    <mergeCell ref="M7:M9"/>
  </mergeCells>
  <hyperlinks>
    <hyperlink ref="H185" r:id="rId1" xr:uid="{00000000-0004-0000-0300-000000000000}"/>
    <hyperlink ref="H187" r:id="rId2" xr:uid="{00000000-0004-0000-0300-000001000000}"/>
    <hyperlink ref="H191" r:id="rId3" xr:uid="{00000000-0004-0000-0300-000002000000}"/>
    <hyperlink ref="H197" r:id="rId4" xr:uid="{00000000-0004-0000-0300-000003000000}"/>
    <hyperlink ref="M64" r:id="rId5" xr:uid="{00000000-0004-0000-0300-000004000000}"/>
    <hyperlink ref="M75" r:id="rId6" xr:uid="{00000000-0004-0000-0300-000005000000}"/>
    <hyperlink ref="M78" r:id="rId7" xr:uid="{00000000-0004-0000-0300-000006000000}"/>
    <hyperlink ref="M84" r:id="rId8" xr:uid="{00000000-0004-0000-0300-000007000000}"/>
    <hyperlink ref="M90" r:id="rId9" xr:uid="{00000000-0004-0000-0300-000008000000}"/>
    <hyperlink ref="M95" r:id="rId10" xr:uid="{00000000-0004-0000-0300-000009000000}"/>
    <hyperlink ref="M279" r:id="rId11" xr:uid="{00000000-0004-0000-0300-00000A000000}"/>
    <hyperlink ref="M82" r:id="rId12" xr:uid="{00000000-0004-0000-0300-00000B000000}"/>
    <hyperlink ref="M86" r:id="rId13" xr:uid="{00000000-0004-0000-0300-00000C000000}"/>
    <hyperlink ref="M101" r:id="rId14" xr:uid="{00000000-0004-0000-0300-00000D000000}"/>
    <hyperlink ref="M92" r:id="rId15" xr:uid="{00000000-0004-0000-0300-00000E000000}"/>
    <hyperlink ref="M132" r:id="rId16" xr:uid="{00000000-0004-0000-0300-00000F000000}"/>
    <hyperlink ref="M136" r:id="rId17" xr:uid="{00000000-0004-0000-0300-000010000000}"/>
    <hyperlink ref="M138" r:id="rId18" xr:uid="{00000000-0004-0000-0300-000011000000}"/>
    <hyperlink ref="M140" r:id="rId19" xr:uid="{00000000-0004-0000-0300-000012000000}"/>
    <hyperlink ref="M142" r:id="rId20" xr:uid="{00000000-0004-0000-0300-000013000000}"/>
    <hyperlink ref="M144" r:id="rId21" xr:uid="{00000000-0004-0000-0300-000014000000}"/>
    <hyperlink ref="M32" r:id="rId22" xr:uid="{00000000-0004-0000-0300-000016000000}"/>
    <hyperlink ref="M112" r:id="rId23" xr:uid="{00000000-0004-0000-0300-000017000000}"/>
    <hyperlink ref="M121" r:id="rId24" xr:uid="{00000000-0004-0000-0300-000018000000}"/>
    <hyperlink ref="M169" r:id="rId25" xr:uid="{00000000-0004-0000-0300-000019000000}"/>
    <hyperlink ref="M204" r:id="rId26" xr:uid="{00000000-0004-0000-0300-00001A000000}"/>
    <hyperlink ref="M118" r:id="rId27" xr:uid="{00000000-0004-0000-0300-00001B000000}"/>
    <hyperlink ref="M129" r:id="rId28" xr:uid="{00000000-0004-0000-0300-00001C000000}"/>
    <hyperlink ref="M166" r:id="rId29" xr:uid="{00000000-0004-0000-0300-00001D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Test Req</vt:lpstr>
      <vt:lpstr>Scenario</vt:lpstr>
      <vt:lpstr>TestCase</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Nguyễn Đình Duy</dc:creator>
  <cp:keywords/>
  <dc:description/>
  <cp:lastModifiedBy>Nguyễn Minh Danh</cp:lastModifiedBy>
  <cp:revision/>
  <dcterms:created xsi:type="dcterms:W3CDTF">2026-03-11T03:36:42Z</dcterms:created>
  <dcterms:modified xsi:type="dcterms:W3CDTF">2026-03-25T03:06:34Z</dcterms:modified>
  <cp:category/>
  <cp:contentStatus/>
</cp:coreProperties>
</file>